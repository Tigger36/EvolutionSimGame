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eaa1badd8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Rates" sheetId="1" r:id="R5e64cbaa4ba04f88"/>
    <x:sheet xmlns:r="http://schemas.openxmlformats.org/officeDocument/2006/relationships" name="Assumptions" sheetId="2" r:id="R75a35a33a8614f95"/>
    <x:sheet xmlns:r="http://schemas.openxmlformats.org/officeDocument/2006/relationships" name="Benchmark Guide" sheetId="3" r:id="R47ad17780d044b1c"/>
    <x:sheet xmlns:r="http://schemas.openxmlformats.org/officeDocument/2006/relationships" name="Benchmark Signals" sheetId="4" r:id="Rb6b72852e5ba4055"/>
    <x:sheet xmlns:r="http://schemas.openxmlformats.org/officeDocument/2006/relationships" name="Task Fit Matrix" sheetId="5" r:id="R32f099cbdec049c5"/>
    <x:sheet xmlns:r="http://schemas.openxmlformats.org/officeDocument/2006/relationships" name="Sources" sheetId="6" r:id="R52ca84d59fd742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.000"/>
    <x:numFmt numFmtId="201" formatCode="0"/>
    <x:numFmt numFmtId="202" formatCode="0.0"/>
    <x:numFmt numFmtId="203" formatCode="#,##0"/>
    <x:numFmt numFmtId="204" formatCode="0.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DBEAFE"/>
      <x:name val="Carlito"/>
    </x:font>
    <x:font>
      <x:b/>
      <x:sz val="11"/>
      <x:color rgb="FFE0E7FF"/>
      <x:name val="Carlito"/>
    </x:font>
    <x:font>
      <x:b/>
      <x:sz val="11"/>
      <x:color rgb="FFCFFAFE"/>
      <x:name val="Carlito"/>
    </x:font>
    <x:font>
      <x:b/>
      <x:sz val="11"/>
      <x:color rgb="FFFEF3C7"/>
      <x:name val="Carlito"/>
    </x:font>
    <x:font>
      <x:b/>
      <x:sz val="1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1E3A8A"/>
      </x:patternFill>
    </x:fill>
    <x:fill>
      <x:patternFill patternType="solid">
        <x:fgColor rgb="FF3730A3"/>
      </x:patternFill>
    </x:fill>
    <x:fill>
      <x:patternFill patternType="solid">
        <x:fgColor rgb="FF4338CA"/>
      </x:patternFill>
    </x:fill>
    <x:fill>
      <x:patternFill patternType="solid">
        <x:fgColor rgb="FF164E63"/>
      </x:patternFill>
    </x:fill>
    <x:fill>
      <x:patternFill patternType="solid">
        <x:fgColor rgb="FF155E75"/>
      </x:patternFill>
    </x:fill>
    <x:fill>
      <x:patternFill patternType="solid">
        <x:fgColor rgb="FF713F12"/>
      </x:patternFill>
    </x:fill>
    <x:fill>
      <x:patternFill patternType="solid">
        <x:fgColor rgb="FF92400E"/>
      </x:patternFill>
    </x:fill>
    <x:fill>
      <x:patternFill patternType="solid">
        <x:fgColor rgb="FF064E3B"/>
      </x:patternFill>
    </x:fill>
    <x:fill>
      <x:patternFill patternType="solid">
        <x:fgColor rgb="FFECFDF5"/>
      </x:patternFill>
    </x:fill>
    <x:fill>
      <x:patternFill patternType="solid">
        <x:fgColor rgb="FF7C2D12"/>
      </x:patternFill>
    </x:fill>
    <x:fill>
      <x:patternFill patternType="solid">
        <x:fgColor rgb="FFFFEDD5"/>
      </x:patternFill>
    </x:fill>
  </x:fills>
  <x:borders count="4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7D2FE"/>
      </x:left>
      <x:top style="thin">
        <x:color rgb="FFC7D2FE"/>
      </x:top>
    </x:border>
    <x:border>
      <x:top style="thin">
        <x:color rgb="FFC7D2FE"/>
      </x:top>
    </x:border>
    <x:border>
      <x:right style="thin">
        <x:color rgb="FFC7D2FE"/>
      </x:right>
      <x:top style="thin">
        <x:color rgb="FFC7D2FE"/>
      </x:top>
    </x:border>
    <x:border>
      <x:left style="thin">
        <x:color rgb="FFC7D2FE"/>
      </x:left>
    </x:border>
    <x:border>
      <x:right style="thin">
        <x:color rgb="FFC7D2FE"/>
      </x:right>
    </x:border>
    <x:border>
      <x:left style="thin">
        <x:color rgb="FFC7D2FE"/>
      </x:left>
      <x:bottom style="thin">
        <x:color rgb="FFC7D2FE"/>
      </x:bottom>
    </x:border>
    <x:border>
      <x:bottom style="thin">
        <x:color rgb="FFC7D2FE"/>
      </x:bottom>
    </x:border>
    <x:border>
      <x:right style="thin">
        <x:color rgb="FFC7D2FE"/>
      </x:right>
      <x:bottom style="thin">
        <x:color rgb="FFC7D2FE"/>
      </x:bottom>
    </x:border>
    <x:border>
      <x:left style="thin">
        <x:color rgb="FFA5F3FC"/>
      </x:left>
      <x:top style="thin">
        <x:color rgb="FFA5F3FC"/>
      </x:top>
    </x:border>
    <x:border>
      <x:top style="thin">
        <x:color rgb="FFA5F3FC"/>
      </x:top>
    </x:border>
    <x:border>
      <x:right style="thin">
        <x:color rgb="FFA5F3FC"/>
      </x:right>
      <x:top style="thin">
        <x:color rgb="FFA5F3FC"/>
      </x:top>
    </x:border>
    <x:border>
      <x:left style="thin">
        <x:color rgb="FFA5F3FC"/>
      </x:left>
    </x:border>
    <x:border>
      <x:right style="thin">
        <x:color rgb="FFA5F3FC"/>
      </x:right>
    </x:border>
    <x:border>
      <x:left style="thin">
        <x:color rgb="FFA5F3FC"/>
      </x:left>
      <x:bottom style="thin">
        <x:color rgb="FFA5F3FC"/>
      </x:bottom>
    </x:border>
    <x:border>
      <x:bottom style="thin">
        <x:color rgb="FFA5F3FC"/>
      </x:bottom>
    </x:border>
    <x:border>
      <x:right style="thin">
        <x:color rgb="FFA5F3FC"/>
      </x:right>
      <x:bottom style="thin">
        <x:color rgb="FFA5F3FC"/>
      </x:bottom>
    </x:border>
    <x:border>
      <x:left style="thin">
        <x:color rgb="FFFDE68A"/>
      </x:left>
      <x:top style="thin">
        <x:color rgb="FFFDE68A"/>
      </x:top>
    </x:border>
    <x:border>
      <x:top style="thin">
        <x:color rgb="FFFDE68A"/>
      </x:top>
    </x:border>
    <x:border>
      <x:right style="thin">
        <x:color rgb="FFFDE68A"/>
      </x:right>
      <x:top style="thin">
        <x:color rgb="FFFDE68A"/>
      </x:top>
    </x:border>
    <x:border>
      <x:left style="thin">
        <x:color rgb="FFFDE68A"/>
      </x:left>
    </x:border>
    <x:border>
      <x:right style="thin">
        <x:color rgb="FFFDE68A"/>
      </x:right>
    </x:border>
    <x:border>
      <x:left style="thin">
        <x:color rgb="FFFDE68A"/>
      </x:left>
      <x:bottom style="thin">
        <x:color rgb="FFFDE68A"/>
      </x:bottom>
    </x:border>
    <x:border>
      <x:bottom style="thin">
        <x:color rgb="FFFDE68A"/>
      </x:bottom>
    </x:border>
    <x:border>
      <x:right style="thin">
        <x:color rgb="FFFDE68A"/>
      </x:right>
      <x:bottom style="thin">
        <x:color rgb="FFFDE68A"/>
      </x:bottom>
    </x:border>
    <x:border>
      <x:left style="thin">
        <x:color rgb="FFA7F3D0"/>
      </x:left>
      <x:top style="thin">
        <x:color rgb="FFA7F3D0"/>
      </x:top>
    </x:border>
    <x:border>
      <x:top style="thin">
        <x:color rgb="FFA7F3D0"/>
      </x:top>
    </x:border>
    <x:border>
      <x:right style="thin">
        <x:color rgb="FFA7F3D0"/>
      </x:right>
      <x:top style="thin">
        <x:color rgb="FFA7F3D0"/>
      </x:top>
    </x:border>
    <x:border>
      <x:left style="thin">
        <x:color rgb="FFA7F3D0"/>
      </x:left>
    </x:border>
    <x:border>
      <x:right style="thin">
        <x:color rgb="FFA7F3D0"/>
      </x:right>
    </x:border>
    <x:border>
      <x:left style="thin">
        <x:color rgb="FFA7F3D0"/>
      </x:left>
      <x:bottom style="thin">
        <x:color rgb="FFA7F3D0"/>
      </x:bottom>
    </x:border>
    <x:border>
      <x:bottom style="thin">
        <x:color rgb="FFA7F3D0"/>
      </x:bottom>
    </x:border>
    <x:border>
      <x:right style="thin">
        <x:color rgb="FFA7F3D0"/>
      </x:right>
      <x:bottom style="thin">
        <x:color rgb="FFA7F3D0"/>
      </x:bottom>
    </x:border>
    <x:border>
      <x:left style="thin">
        <x:color rgb="FFFED7AA"/>
      </x:left>
      <x:top style="thin">
        <x:color rgb="FFFED7AA"/>
      </x:top>
    </x:border>
    <x:border>
      <x:top style="thin">
        <x:color rgb="FFFED7AA"/>
      </x:top>
    </x:border>
    <x:border>
      <x:right style="thin">
        <x:color rgb="FFFED7AA"/>
      </x:right>
      <x:top style="thin">
        <x:color rgb="FFFED7AA"/>
      </x:top>
    </x:border>
    <x:border>
      <x:left style="thin">
        <x:color rgb="FFFED7AA"/>
      </x:left>
    </x:border>
    <x:border>
      <x:right style="thin">
        <x:color rgb="FFFED7AA"/>
      </x:right>
    </x:border>
    <x:border>
      <x:left style="thin">
        <x:color rgb="FFFED7AA"/>
      </x:left>
      <x:bottom style="thin">
        <x:color rgb="FFFED7AA"/>
      </x:bottom>
    </x:border>
    <x:border>
      <x:bottom style="thin">
        <x:color rgb="FFFED7AA"/>
      </x:bottom>
    </x:border>
    <x:border>
      <x:right style="thin">
        <x:color rgb="FFFED7AA"/>
      </x:right>
      <x:bottom style="thin">
        <x:color rgb="FFFED7AA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201" fontId="0" fillId="0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4" borderId="9" xfId="0" applyNumberFormat="1" applyFont="1" applyFill="1" applyBorder="1"/>
    <x:xf numFmtId="0" fontId="1" fillId="4" borderId="10" xfId="0" applyNumberFormat="1" applyFont="1" applyFill="1" applyBorder="1"/>
    <x:xf numFmtId="0" fontId="1" fillId="4" borderId="11" xfId="0" applyNumberFormat="1" applyFont="1" applyFill="1" applyBorder="1"/>
    <x:xf numFmtId="0" fontId="3" fillId="4" borderId="12" xfId="0" applyNumberFormat="1" applyFont="1" applyFill="1" applyBorder="1" applyAlignment="1">
      <x:alignment wrapText="1"/>
    </x:xf>
    <x:xf numFmtId="0" fontId="1" fillId="4" borderId="13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1" fillId="5" borderId="12" xfId="0" applyNumberFormat="1" applyFont="1" applyFill="1" applyBorder="1" applyAlignment="1">
      <x:alignment wrapText="1"/>
    </x:xf>
    <x:xf numFmtId="0" fontId="1" fillId="5" borderId="13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1" fillId="6" borderId="17" xfId="0" applyNumberFormat="1" applyFont="1" applyFill="1" applyBorder="1"/>
    <x:xf numFmtId="0" fontId="1" fillId="6" borderId="18" xfId="0" applyNumberFormat="1" applyFont="1" applyFill="1" applyBorder="1"/>
    <x:xf numFmtId="0" fontId="1" fillId="6" borderId="19" xfId="0" applyNumberFormat="1" applyFont="1" applyFill="1" applyBorder="1"/>
    <x:xf numFmtId="0" fontId="4" fillId="6" borderId="20" xfId="0" applyNumberFormat="1" applyFont="1" applyFill="1" applyBorder="1" applyAlignment="1">
      <x:alignment wrapText="1"/>
    </x:xf>
    <x:xf numFmtId="0" fontId="1" fillId="6" borderId="21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1" fillId="7" borderId="20" xfId="0" applyNumberFormat="1" applyFont="1" applyFill="1" applyBorder="1" applyAlignment="1">
      <x:alignment wrapText="1"/>
    </x:xf>
    <x:xf numFmtId="0" fontId="1" fillId="7" borderId="2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202" fontId="0" fillId="0" borderId="23" xfId="0" applyNumberFormat="1" applyFont="1" applyFill="1" applyBorder="1" applyAlignment="1">
      <x:alignment wrapText="1"/>
    </x:xf>
    <x:xf numFmtId="200" fontId="0" fillId="0" borderId="23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8" borderId="25" xfId="0" applyNumberFormat="1" applyFont="1" applyFill="1" applyBorder="1"/>
    <x:xf numFmtId="0" fontId="1" fillId="8" borderId="26" xfId="0" applyNumberFormat="1" applyFont="1" applyFill="1" applyBorder="1"/>
    <x:xf numFmtId="0" fontId="1" fillId="8" borderId="27" xfId="0" applyNumberFormat="1" applyFont="1" applyFill="1" applyBorder="1"/>
    <x:xf numFmtId="0" fontId="5" fillId="8" borderId="28" xfId="0" applyNumberFormat="1" applyFont="1" applyFill="1" applyBorder="1" applyAlignment="1">
      <x:alignment wrapText="1"/>
    </x:xf>
    <x:xf numFmtId="0" fontId="1" fillId="8" borderId="29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1" fillId="9" borderId="28" xfId="0" applyNumberFormat="1" applyFont="1" applyFill="1" applyBorder="1" applyAlignment="1">
      <x:alignment wrapText="1"/>
    </x:xf>
    <x:xf numFmtId="0" fontId="1" fillId="9" borderId="29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204" fontId="0" fillId="0" borderId="0" xfId="0" applyNumberFormat="1" applyFont="1" applyFill="1" applyBorder="1"/>
    <x:xf numFmtId="0" fontId="1" fillId="10" borderId="33" xfId="0" applyNumberFormat="1" applyFont="1" applyFill="1" applyBorder="1"/>
    <x:xf numFmtId="0" fontId="1" fillId="10" borderId="34" xfId="0" applyNumberFormat="1" applyFont="1" applyFill="1" applyBorder="1"/>
    <x:xf numFmtId="0" fontId="1" fillId="1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6" fillId="11" borderId="36" xfId="0" applyNumberFormat="1" applyFont="1" applyFill="1" applyBorder="1"/>
    <x:xf numFmtId="0" fontId="6" fillId="11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1" fillId="12" borderId="41" xfId="0" applyNumberFormat="1" applyFont="1" applyFill="1" applyBorder="1"/>
    <x:xf numFmtId="0" fontId="1" fillId="12" borderId="42" xfId="0" applyNumberFormat="1" applyFont="1" applyFill="1" applyBorder="1"/>
    <x:xf numFmtId="0" fontId="1" fillId="12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45" xfId="0" applyNumberFormat="1" applyFont="1" applyFill="1" applyBorder="1"/>
    <x:xf numFmtId="0" fontId="6" fillId="13" borderId="44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6" fillId="13" borderId="46" xfId="0" applyNumberFormat="1" applyFont="1" applyFill="1" applyBorder="1" applyAlignment="1">
      <x:alignment wrapText="1"/>
    </x:xf>
    <x:xf numFmtId="0" fontId="0" fillId="0" borderId="47" xfId="0" applyNumberFormat="1" applyFont="1" applyFill="1" applyBorder="1" applyAlignment="1">
      <x:alignment wrapText="1"/>
    </x:xf>
    <x:xf numFmtId="0" fontId="0" fillId="0" borderId="4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ac979d477484c" /><Relationship Type="http://schemas.openxmlformats.org/officeDocument/2006/relationships/theme" Target="/xl/theme/theme1.xml" Id="R83f3d33decd24937" /><Relationship Type="http://schemas.openxmlformats.org/officeDocument/2006/relationships/sharedStrings" Target="/xl/sharedStrings.xml" Id="R81c86475d8d14b68" /><Relationship Type="http://schemas.openxmlformats.org/officeDocument/2006/relationships/worksheet" Target="/xl/worksheets/sheet1.xml" Id="R5e64cbaa4ba04f88" /><Relationship Type="http://schemas.openxmlformats.org/officeDocument/2006/relationships/worksheet" Target="/xl/worksheets/sheet2.xml" Id="R75a35a33a8614f95" /><Relationship Type="http://schemas.openxmlformats.org/officeDocument/2006/relationships/worksheet" Target="/xl/worksheets/sheet3.xml" Id="R47ad17780d044b1c" /><Relationship Type="http://schemas.openxmlformats.org/officeDocument/2006/relationships/worksheet" Target="/xl/worksheets/sheet4.xml" Id="Rb6b72852e5ba4055" /><Relationship Type="http://schemas.openxmlformats.org/officeDocument/2006/relationships/worksheet" Target="/xl/worksheets/sheet5.xml" Id="R32f099cbdec049c5" /><Relationship Type="http://schemas.openxmlformats.org/officeDocument/2006/relationships/worksheet" Target="/xl/worksheets/sheet6.xml" Id="R52ca84d59fd742ba" /></Relationships>
</file>

<file path=xl/tables/table1.xml><?xml version="1.0" encoding="utf-8"?>
<x:table xmlns:x="http://schemas.openxmlformats.org/spreadsheetml/2006/main" id="1" name="CursorModelRates" displayName="CursorModelRates" ref="A5:Q68" headerRowCount="1">
  <x:autoFilter ref="A5:Q68"/>
  <x:tableColumns count="17">
    <x:tableColumn id="1" name="Rank"/>
    <x:tableColumn id="2" name="Model / Mode"/>
    <x:tableColumn id="3" name="Provider"/>
    <x:tableColumn id="4" name="Pool"/>
    <x:tableColumn id="5" name="Visibility"/>
    <x:tableColumn id="6" name="Model ID"/>
    <x:tableColumn id="7" name="Mode / Thinking Level"/>
    <x:tableColumn id="8" name="Context Window"/>
    <x:tableColumn id="9" name="Max Context"/>
    <x:tableColumn id="10" name="Input $/1M"/>
    <x:tableColumn id="11" name="Cache Write $/1M"/>
    <x:tableColumn id="12" name="Cache Read $/1M"/>
    <x:tableColumn id="13" name="Output $/1M"/>
    <x:tableColumn id="14" name="Simple Total $/1M"/>
    <x:tableColumn id="15" name="Estimated Blended $/1M"/>
    <x:tableColumn id="16" name="Notes"/>
    <x:tableColumn id="17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BenchmarkGuide" displayName="BenchmarkGuide" ref="A5:G16" headerRowCount="1">
  <x:autoFilter ref="A5:G16"/>
  <x:tableColumns count="7">
    <x:tableColumn id="1" name="Benchmark"/>
    <x:tableColumn id="2" name="Capability Signal"/>
    <x:tableColumn id="3" name="Best Task Fit"/>
    <x:tableColumn id="4" name="How to Use in Recommendation"/>
    <x:tableColumn id="5" name="Cost / Token Implication"/>
    <x:tableColumn id="6" name="Limitations"/>
    <x:tableColumn id="7" name="Source URL"/>
  </x:tableColumns>
  <x:tableStyleInfo name="TableStyleMedium5" showRowStripes="1"/>
</x:table>
</file>

<file path=xl/tables/table3.xml><?xml version="1.0" encoding="utf-8"?>
<x:table xmlns:x="http://schemas.openxmlformats.org/spreadsheetml/2006/main" id="3" name="BenchmarkSignals" displayName="BenchmarkSignals" ref="A5:N25" headerRowCount="1">
  <x:autoFilter ref="A5:N25"/>
  <x:tableColumns count="14">
    <x:tableColumn id="1" name="Benchmark"/>
    <x:tableColumn id="2" name="Model / Agent"/>
    <x:tableColumn id="3" name="Cursor/Codex Mapping"/>
    <x:tableColumn id="4" name="Score"/>
    <x:tableColumn id="5" name="Score Unit"/>
    <x:tableColumn id="6" name="Reported Cost $"/>
    <x:tableColumn id="7" name="Prompt Tokens"/>
    <x:tableColumn id="8" name="Completion Tokens"/>
    <x:tableColumn id="9" name="Total Tokens"/>
    <x:tableColumn id="10" name="Cost per Score Point"/>
    <x:tableColumn id="11" name="Best Task Fit"/>
    <x:tableColumn id="12" name="Recommendation Guidance"/>
    <x:tableColumn id="13" name="Caveat"/>
    <x:tableColumn id="14" name="Source URL"/>
  </x:tableColumns>
  <x:tableStyleInfo name="TableStyleMedium4" showRowStripes="1"/>
</x:table>
</file>

<file path=xl/tables/table4.xml><?xml version="1.0" encoding="utf-8"?>
<x:table xmlns:x="http://schemas.openxmlformats.org/spreadsheetml/2006/main" id="4" name="TaskFitMatrix" displayName="TaskFitMatrix" ref="A5:F15" headerRowCount="1">
  <x:autoFilter ref="A5:F15"/>
  <x:tableColumns count="6">
    <x:tableColumn id="1" name="Task Profile"/>
    <x:tableColumn id="2" name="Benchmark Evidence To Check"/>
    <x:tableColumn id="3" name="Primary Capability Signal"/>
    <x:tableColumn id="4" name="Default Recommendation Pattern"/>
    <x:tableColumn id="5" name="Escalate When"/>
    <x:tableColumn id="6" name="Token / Usage Control"/>
  </x:tableColumns>
  <x:tableStyleInfo name="TableStyleMedium3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d79120a6744a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fe45900c614f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8ceacebf0a47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cce2f9f1fc44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2" hidden="0" customWidth="1"/>
    <x:col min="3" max="3" width="14" hidden="0" customWidth="1"/>
    <x:col min="4" max="4" width="18" hidden="0" customWidth="1"/>
    <x:col min="5" max="5" width="24" hidden="0" customWidth="1"/>
    <x:col min="6" max="6" width="28" hidden="0" customWidth="1"/>
    <x:col min="7" max="7" width="24" hidden="0" customWidth="1"/>
    <x:col min="8" max="8" width="14" hidden="0" customWidth="1"/>
    <x:col min="9" max="9" width="14" hidden="0" customWidth="1"/>
    <x:col min="10" max="10" width="13" hidden="0" customWidth="1"/>
    <x:col min="11" max="11" width="16" hidden="0" customWidth="1"/>
    <x:col min="12" max="12" width="15" hidden="0" customWidth="1"/>
    <x:col min="13" max="13" width="13" hidden="0" customWidth="1"/>
    <x:col min="14" max="14" width="17" hidden="0" customWidth="1"/>
    <x:col min="15" max="15" width="20" hidden="0" customWidth="1"/>
    <x:col min="16" max="16" width="64" hidden="0" customWidth="1"/>
    <x:col min="17" max="17" width="44" hidden="0" customWidth="1"/>
  </x:cols>
  <x:sheetData>
    <x:row r="1" ht="28" customHeight="1">
      <x:c r="A1" s="11" t="str">
        <x:v>Cursor Model API / Token Usage Rates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3"/>
    </x:row>
    <x:row r="2" ht="42" customHeight="1">
      <x:c r="A2" s="14" t="str">
        <x:v>Rows are sorted by the editable estimated blended rate: uncached input, cache write, cache read, and output weighted by the Assumptions sheet. Rates are USD per 1M tokens.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15"/>
    </x:row>
    <x:row r="3">
      <x:c r="A3" s="16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8"/>
    </x:row>
    <x:row r="4">
      <x:c r="A4" s="16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8"/>
    </x:row>
    <x:row r="5" ht="34" customHeight="1">
      <x:c r="A5" s="19" t="str">
        <x:v>Rank</x:v>
      </x:c>
      <x:c r="B5" s="7" t="str">
        <x:v>Model / Mode</x:v>
      </x:c>
      <x:c r="C5" s="7" t="str">
        <x:v>Provider</x:v>
      </x:c>
      <x:c r="D5" s="7" t="str">
        <x:v>Pool</x:v>
      </x:c>
      <x:c r="E5" s="7" t="str">
        <x:v>Visibility</x:v>
      </x:c>
      <x:c r="F5" s="7" t="str">
        <x:v>Model ID</x:v>
      </x:c>
      <x:c r="G5" s="7" t="str">
        <x:v>Mode / Thinking Level</x:v>
      </x:c>
      <x:c r="H5" s="7" t="str">
        <x:v>Context Window</x:v>
      </x:c>
      <x:c r="I5" s="7" t="str">
        <x:v>Max Context</x:v>
      </x:c>
      <x:c r="J5" s="7" t="str">
        <x:v>Input $/1M</x:v>
      </x:c>
      <x:c r="K5" s="7" t="str">
        <x:v>Cache Write $/1M</x:v>
      </x:c>
      <x:c r="L5" s="7" t="str">
        <x:v>Cache Read $/1M</x:v>
      </x:c>
      <x:c r="M5" s="7" t="str">
        <x:v>Output $/1M</x:v>
      </x:c>
      <x:c r="N5" s="7" t="str">
        <x:v>Simple Total $/1M</x:v>
      </x:c>
      <x:c r="O5" s="7" t="str">
        <x:v>Estimated Blended $/1M</x:v>
      </x:c>
      <x:c r="P5" s="7" t="str">
        <x:v>Notes</x:v>
      </x:c>
      <x:c r="Q5" s="20" t="str">
        <x:v>Source URL</x:v>
      </x:c>
    </x:row>
    <x:row r="6">
      <x:c r="A6" s="21" t="n">
        <x:v>1</x:v>
      </x:c>
      <x:c r="B6" s="17" t="str">
        <x:v>Claude Opus 4.7 (fast mode)</x:v>
      </x:c>
      <x:c r="C6" s="17" t="str">
        <x:v>Anthropic</x:v>
      </x:c>
      <x:c r="D6" s="17" t="str">
        <x:v>API</x:v>
      </x:c>
      <x:c r="E6" s="17" t="str">
        <x:v>Hidden in docs metadata</x:v>
      </x:c>
      <x:c r="F6" s="17" t="str">
        <x:v>claude-opus-4-7-fast</x:v>
      </x:c>
      <x:c r="G6" s="17" t="str">
        <x:v>Default / thinking-capable</x:v>
      </x:c>
      <x:c r="H6" s="17" t="str">
        <x:v>200k</x:v>
      </x:c>
      <x:c r="I6" s="17" t="str">
        <x:v>1M</x:v>
      </x:c>
      <x:c r="J6" s="8" t="n">
        <x:v>30</x:v>
      </x:c>
      <x:c r="K6" s="8" t="n">
        <x:v>37.5</x:v>
      </x:c>
      <x:c r="L6" s="8" t="n">
        <x:v>3</x:v>
      </x:c>
      <x:c r="M6" s="8" t="n">
        <x:v>150</x:v>
      </x:c>
      <x:c r="N6" s="8" t="n">
        <x:f>SUM(J6:M6)</x:f>
        <x:v>220.5</x:v>
      </x:c>
      <x:c r="O6" s="8" t="n">
        <x:f>J6*'Assumptions'!$B$5+K6*'Assumptions'!$B$6+L6*'Assumptions'!$B$7+M6*'Assumptions'!$B$8+IF('Assumptions'!$B$11=1,IF(D6="API",'Assumptions'!$B$10,0),0)</x:f>
        <x:v>32.175</x:v>
      </x:c>
      <x:c r="P6" s="10" t="str">
        <x:v>Requires Max Mode on request-based plans; Limited research preview; Up to 1M tokens in Max Mode at the same per-token rates as shorter context</x:v>
      </x:c>
      <x:c r="Q6" s="22" t="str">
        <x:v>https://www.anthropic.com/claude/opus</x:v>
      </x:c>
    </x:row>
    <x:row r="7">
      <x:c r="A7" s="21" t="n">
        <x:v>2</x:v>
      </x:c>
      <x:c r="B7" s="17" t="str">
        <x:v>Claude Opus 4.7 (fast mode) (Thinking)</x:v>
      </x:c>
      <x:c r="C7" s="17" t="str">
        <x:v>Anthropic</x:v>
      </x:c>
      <x:c r="D7" s="17" t="str">
        <x:v>API</x:v>
      </x:c>
      <x:c r="E7" s="17" t="str">
        <x:v>Hidden in docs metadata</x:v>
      </x:c>
      <x:c r="F7" s="17" t="str">
        <x:v>claude-opus-4-7-fast-thinking</x:v>
      </x:c>
      <x:c r="G7" s="17" t="str">
        <x:v>Thinking</x:v>
      </x:c>
      <x:c r="H7" s="17" t="str">
        <x:v>200k</x:v>
      </x:c>
      <x:c r="I7" s="17" t="str">
        <x:v>1M</x:v>
      </x:c>
      <x:c r="J7" s="8" t="n">
        <x:v>30</x:v>
      </x:c>
      <x:c r="K7" s="8" t="n">
        <x:v>37.5</x:v>
      </x:c>
      <x:c r="L7" s="8" t="n">
        <x:v>3</x:v>
      </x:c>
      <x:c r="M7" s="8" t="n">
        <x:v>150</x:v>
      </x:c>
      <x:c r="N7" s="8" t="n">
        <x:f>SUM(J7:M7)</x:f>
        <x:v>220.5</x:v>
      </x:c>
      <x:c r="O7" s="8" t="n">
        <x:f>J7*'Assumptions'!$B$5+K7*'Assumptions'!$B$6+L7*'Assumptions'!$B$7+M7*'Assumptions'!$B$8+IF('Assumptions'!$B$11=1,IF(D7="API",'Assumptions'!$B$10,0),0)</x:f>
        <x:v>32.175</x:v>
      </x:c>
      <x:c r="P7" s="10" t="str">
        <x:v>Mode: Thinking; Same token rates as base model in Cursor metadata; Requires Max Mode on request-based plans; Limited research preview; Up to 1M tokens in Max Mode at the same per-token rates as shorter context</x:v>
      </x:c>
      <x:c r="Q7" s="22" t="str">
        <x:v>https://www.anthropic.com/claude/opus</x:v>
      </x:c>
    </x:row>
    <x:row r="8">
      <x:c r="A8" s="21" t="n">
        <x:v>3</x:v>
      </x:c>
      <x:c r="B8" s="17" t="str">
        <x:v>Claude 4.6 Opus (Fast mode)</x:v>
      </x:c>
      <x:c r="C8" s="17" t="str">
        <x:v>Anthropic</x:v>
      </x:c>
      <x:c r="D8" s="17" t="str">
        <x:v>API</x:v>
      </x:c>
      <x:c r="E8" s="17" t="str">
        <x:v>Hidden in docs metadata</x:v>
      </x:c>
      <x:c r="F8" s="17" t="str">
        <x:v>claude-4-6-opus-fast</x:v>
      </x:c>
      <x:c r="G8" s="17" t="str">
        <x:v>Default / thinking-capable</x:v>
      </x:c>
      <x:c r="H8" s="17" t="str">
        <x:v>200k</x:v>
      </x:c>
      <x:c r="I8" s="17" t="str">
        <x:v>1M</x:v>
      </x:c>
      <x:c r="J8" s="8" t="n">
        <x:v>30</x:v>
      </x:c>
      <x:c r="K8" s="8" t="n">
        <x:v>37.5</x:v>
      </x:c>
      <x:c r="L8" s="8" t="n">
        <x:v>3</x:v>
      </x:c>
      <x:c r="M8" s="8" t="n">
        <x:v>150</x:v>
      </x:c>
      <x:c r="N8" s="8" t="n">
        <x:f>SUM(J8:M8)</x:f>
        <x:v>220.5</x:v>
      </x:c>
      <x:c r="O8" s="8" t="n">
        <x:f>J8*'Assumptions'!$B$5+K8*'Assumptions'!$B$6+L8*'Assumptions'!$B$7+M8*'Assumptions'!$B$8+IF('Assumptions'!$B$11=1,IF(D8="API",'Assumptions'!$B$10,0),0)</x:f>
        <x:v>32.175</x:v>
      </x:c>
      <x:c r="P8" s="10" t="str">
        <x:v>Requires Max Mode on request-based plans; Limited research preview; Up to 1M tokens in Max Mode at the same per-token rates as shorter context</x:v>
      </x:c>
      <x:c r="Q8" s="22" t="str">
        <x:v>https://www.anthropic.com/claude/opus</x:v>
      </x:c>
    </x:row>
    <x:row r="9">
      <x:c r="A9" s="21" t="n">
        <x:v>4</x:v>
      </x:c>
      <x:c r="B9" s="17" t="str">
        <x:v>Claude 4.6 Opus (Fast mode) (Thinking)</x:v>
      </x:c>
      <x:c r="C9" s="17" t="str">
        <x:v>Anthropic</x:v>
      </x:c>
      <x:c r="D9" s="17" t="str">
        <x:v>API</x:v>
      </x:c>
      <x:c r="E9" s="17" t="str">
        <x:v>Hidden in docs metadata</x:v>
      </x:c>
      <x:c r="F9" s="17" t="str">
        <x:v>claude-4-6-opus-fast-thinking</x:v>
      </x:c>
      <x:c r="G9" s="17" t="str">
        <x:v>Thinking</x:v>
      </x:c>
      <x:c r="H9" s="17" t="str">
        <x:v>200k</x:v>
      </x:c>
      <x:c r="I9" s="17" t="str">
        <x:v>1M</x:v>
      </x:c>
      <x:c r="J9" s="8" t="n">
        <x:v>30</x:v>
      </x:c>
      <x:c r="K9" s="8" t="n">
        <x:v>37.5</x:v>
      </x:c>
      <x:c r="L9" s="8" t="n">
        <x:v>3</x:v>
      </x:c>
      <x:c r="M9" s="8" t="n">
        <x:v>150</x:v>
      </x:c>
      <x:c r="N9" s="8" t="n">
        <x:f>SUM(J9:M9)</x:f>
        <x:v>220.5</x:v>
      </x:c>
      <x:c r="O9" s="8" t="n">
        <x:f>J9*'Assumptions'!$B$5+K9*'Assumptions'!$B$6+L9*'Assumptions'!$B$7+M9*'Assumptions'!$B$8+IF('Assumptions'!$B$11=1,IF(D9="API",'Assumptions'!$B$10,0),0)</x:f>
        <x:v>32.175</x:v>
      </x:c>
      <x:c r="P9" s="10" t="str">
        <x:v>Mode: Thinking; Same token rates as base model in Cursor metadata; Requires Max Mode on request-based plans; Limited research preview; Up to 1M tokens in Max Mode at the same per-token rates as shorter context</x:v>
      </x:c>
      <x:c r="Q9" s="22" t="str">
        <x:v>https://www.anthropic.com/claude/opus</x:v>
      </x:c>
    </x:row>
    <x:row r="10">
      <x:c r="A10" s="21" t="n">
        <x:v>5</x:v>
      </x:c>
      <x:c r="B10" s="17" t="str">
        <x:v>GPT-5.5 (Fast Mode)</x:v>
      </x:c>
      <x:c r="C10" s="17" t="str">
        <x:v>OpenAI</x:v>
      </x:c>
      <x:c r="D10" s="17" t="str">
        <x:v>API</x:v>
      </x:c>
      <x:c r="E10" s="17" t="str">
        <x:v>Visible in current docs</x:v>
      </x:c>
      <x:c r="F10" s="17" t="str">
        <x:v>gpt-5.5-fast</x:v>
      </x:c>
      <x:c r="G10" s="17" t="str">
        <x:v>Fast Mode</x:v>
      </x:c>
      <x:c r="H10" s="17" t="str">
        <x:v>272k</x:v>
      </x:c>
      <x:c r="I10" s="17" t="str">
        <x:v>1M</x:v>
      </x:c>
      <x:c r="J10" s="8" t="n">
        <x:v>12.5</x:v>
      </x:c>
      <x:c r="K10" s="8"/>
      <x:c r="L10" s="8" t="n">
        <x:v>1.25</x:v>
      </x:c>
      <x:c r="M10" s="8" t="n">
        <x:v>75</x:v>
      </x:c>
      <x:c r="N10" s="8" t="n">
        <x:f>SUM(J10:M10)</x:f>
        <x:v>88.75</x:v>
      </x:c>
      <x:c r="O10" s="8" t="n">
        <x:f>J10*'Assumptions'!$B$5+K10*'Assumptions'!$B$6+L10*'Assumptions'!$B$7+M10*'Assumptions'!$B$8+IF('Assumptions'!$B$11=1,IF(D10="API",'Assumptions'!$B$10,0),0)</x:f>
        <x:v>14.5</x:v>
      </x:c>
      <x:c r="P10" s="10" t="str">
        <x:v>Mode: Fast Mode; Requires Max Mode on request-based plans; Agentic and reasoning capabilities; More token-efficient than GPT-5.4 on comparable tasks; Improved persistence on long-running tasks; Fast mode is available at higher rates; Long context (Max Mode) supports up to 1M tokens with 2x input pricing</x:v>
      </x:c>
      <x:c r="Q10" s="22" t="str">
        <x:v>https://platform.openai.com/docs/models/gpt-5</x:v>
      </x:c>
    </x:row>
    <x:row r="11">
      <x:c r="A11" s="21" t="n">
        <x:v>6</x:v>
      </x:c>
      <x:c r="B11" s="17" t="str">
        <x:v>Claude Opus 4.8 (Fast Mode)</x:v>
      </x:c>
      <x:c r="C11" s="17" t="str">
        <x:v>Anthropic</x:v>
      </x:c>
      <x:c r="D11" s="17" t="str">
        <x:v>API</x:v>
      </x:c>
      <x:c r="E11" s="17" t="str">
        <x:v>Visible in current docs</x:v>
      </x:c>
      <x:c r="F11" s="17" t="str">
        <x:v>claude-opus-4-8-fast</x:v>
      </x:c>
      <x:c r="G11" s="17" t="str">
        <x:v>Fast Mode</x:v>
      </x:c>
      <x:c r="H11" s="17" t="str">
        <x:v>300k</x:v>
      </x:c>
      <x:c r="I11" s="17" t="str">
        <x:v>1M</x:v>
      </x:c>
      <x:c r="J11" s="8" t="n">
        <x:v>10</x:v>
      </x:c>
      <x:c r="K11" s="8" t="n">
        <x:v>12.5</x:v>
      </x:c>
      <x:c r="L11" s="8" t="n">
        <x:v>1</x:v>
      </x:c>
      <x:c r="M11" s="8" t="n">
        <x:v>50</x:v>
      </x:c>
      <x:c r="N11" s="8" t="n">
        <x:f>SUM(J11:M11)</x:f>
        <x:v>73.5</x:v>
      </x:c>
      <x:c r="O11" s="8" t="n">
        <x:f>J11*'Assumptions'!$B$5+K11*'Assumptions'!$B$6+L11*'Assumptions'!$B$7+M11*'Assumptions'!$B$8+IF('Assumptions'!$B$11=1,IF(D11="API",'Assumptions'!$B$10,0),0)</x:f>
        <x:v>10.725</x:v>
      </x:c>
      <x:c r="P11" s="10" t="str">
        <x:v>Mode: Fast Mode; Requires Max Mode on request-based plans; Fast mode (`claude-opus-4-8-fast`) requires Max Mode; Fast mode is 3x lower per-token pricing than Opus 4.7 fast mode; Up to 1M tokens in Max Mode at the same per-token rates (no long-context surcharge)</x:v>
      </x:c>
      <x:c r="Q11" s="22" t="str">
        <x:v>https://www.anthropic.com/claude/opus</x:v>
      </x:c>
    </x:row>
    <x:row r="12">
      <x:c r="A12" s="21" t="n">
        <x:v>7</x:v>
      </x:c>
      <x:c r="B12" s="17" t="str">
        <x:v>Claude Fable 5</x:v>
      </x:c>
      <x:c r="C12" s="17" t="str">
        <x:v>Anthropic</x:v>
      </x:c>
      <x:c r="D12" s="17" t="str">
        <x:v>API</x:v>
      </x:c>
      <x:c r="E12" s="17" t="str">
        <x:v>Visible in current docs</x:v>
      </x:c>
      <x:c r="F12" s="17" t="str">
        <x:v>claude-fable-5</x:v>
      </x:c>
      <x:c r="G12" s="17" t="str">
        <x:v>Default / thinking-capable</x:v>
      </x:c>
      <x:c r="H12" s="17" t="str">
        <x:v>300k</x:v>
      </x:c>
      <x:c r="I12" s="17" t="str">
        <x:v>1M</x:v>
      </x:c>
      <x:c r="J12" s="8" t="n">
        <x:v>10</x:v>
      </x:c>
      <x:c r="K12" s="8" t="n">
        <x:v>12.5</x:v>
      </x:c>
      <x:c r="L12" s="8" t="n">
        <x:v>1</x:v>
      </x:c>
      <x:c r="M12" s="8" t="n">
        <x:v>50</x:v>
      </x:c>
      <x:c r="N12" s="8" t="n">
        <x:f>SUM(J12:M12)</x:f>
        <x:v>73.5</x:v>
      </x:c>
      <x:c r="O12" s="8" t="n">
        <x:f>J12*'Assumptions'!$B$5+K12*'Assumptions'!$B$6+L12*'Assumptions'!$B$7+M12*'Assumptions'!$B$8+IF('Assumptions'!$B$11=1,IF(D12="API",'Assumptions'!$B$10,0),0)</x:f>
        <x:v>10.725</x:v>
      </x:c>
      <x:c r="P12" s="10" t="str">
        <x:v>Requires data retention approval for Enterprise customers, Teams and individual customers with Privacy Mode enabled; Anthropic stores agent input and output data for harm-prevention processes; this data is not used to train or improve Anthropic models or products; Requests that trip a security guardrail are automatically routed to Claude Opus; About 2x the cost of Claude Opus 4.8; Requires Max Mode on request-based plans</x:v>
      </x:c>
      <x:c r="Q12" s="22" t="str">
        <x:v>https://www.anthropic.com/claude</x:v>
      </x:c>
    </x:row>
    <x:row r="13">
      <x:c r="A13" s="21" t="n">
        <x:v>8</x:v>
      </x:c>
      <x:c r="B13" s="17" t="str">
        <x:v>GPT-5.5 (Long Context (&gt;272k))</x:v>
      </x:c>
      <x:c r="C13" s="17" t="str">
        <x:v>OpenAI</x:v>
      </x:c>
      <x:c r="D13" s="17" t="str">
        <x:v>API</x:v>
      </x:c>
      <x:c r="E13" s="17" t="str">
        <x:v>Visible in current docs</x:v>
      </x:c>
      <x:c r="F13" s="17" t="str">
        <x:v>gpt-5.5-long</x:v>
      </x:c>
      <x:c r="G13" s="17" t="str">
        <x:v>Long Context (&gt;272k)</x:v>
      </x:c>
      <x:c r="H13" s="17" t="str">
        <x:v>272k</x:v>
      </x:c>
      <x:c r="I13" s="17" t="str">
        <x:v>1M</x:v>
      </x:c>
      <x:c r="J13" s="8" t="n">
        <x:v>10</x:v>
      </x:c>
      <x:c r="K13" s="8"/>
      <x:c r="L13" s="8" t="n">
        <x:v>1</x:v>
      </x:c>
      <x:c r="M13" s="8" t="n">
        <x:v>45</x:v>
      </x:c>
      <x:c r="N13" s="8" t="n">
        <x:f>SUM(J13:M13)</x:f>
        <x:v>56</x:v>
      </x:c>
      <x:c r="O13" s="8" t="n">
        <x:f>J13*'Assumptions'!$B$5+K13*'Assumptions'!$B$6+L13*'Assumptions'!$B$7+M13*'Assumptions'!$B$8+IF('Assumptions'!$B$11=1,IF(D13="API",'Assumptions'!$B$10,0),0)</x:f>
        <x:v>9.35</x:v>
      </x:c>
      <x:c r="P13" s="10" t="str">
        <x:v>Mode: Long Context (&gt;272k); Requires Max Mode on request-based plans; Agentic and reasoning capabilities; More token-efficient than GPT-5.4 on comparable tasks; Improved persistence on long-running tasks; Fast mode is available at higher rates; Long context (Max Mode) supports up to 1M tokens with 2x input pricing</x:v>
      </x:c>
      <x:c r="Q13" s="22" t="str">
        <x:v>https://platform.openai.com/docs/models/gpt-5</x:v>
      </x:c>
    </x:row>
    <x:row r="14">
      <x:c r="A14" s="21" t="n">
        <x:v>9</x:v>
      </x:c>
      <x:c r="B14" s="17" t="str">
        <x:v>GPT-5.5</x:v>
      </x:c>
      <x:c r="C14" s="17" t="str">
        <x:v>OpenAI</x:v>
      </x:c>
      <x:c r="D14" s="17" t="str">
        <x:v>API</x:v>
      </x:c>
      <x:c r="E14" s="17" t="str">
        <x:v>Visible in current docs</x:v>
      </x:c>
      <x:c r="F14" s="17" t="str">
        <x:v>gpt-5.5</x:v>
      </x:c>
      <x:c r="G14" s="17" t="str">
        <x:v>Default / thinking-capable</x:v>
      </x:c>
      <x:c r="H14" s="17" t="str">
        <x:v>272k</x:v>
      </x:c>
      <x:c r="I14" s="17" t="str">
        <x:v>1M</x:v>
      </x:c>
      <x:c r="J14" s="8" t="n">
        <x:v>5</x:v>
      </x:c>
      <x:c r="K14" s="8"/>
      <x:c r="L14" s="8" t="n">
        <x:v>0.5</x:v>
      </x:c>
      <x:c r="M14" s="8" t="n">
        <x:v>30</x:v>
      </x:c>
      <x:c r="N14" s="8" t="n">
        <x:f>SUM(J14:M14)</x:f>
        <x:v>35.5</x:v>
      </x:c>
      <x:c r="O14" s="8" t="n">
        <x:f>J14*'Assumptions'!$B$5+K14*'Assumptions'!$B$6+L14*'Assumptions'!$B$7+M14*'Assumptions'!$B$8+IF('Assumptions'!$B$11=1,IF(D14="API",'Assumptions'!$B$10,0),0)</x:f>
        <x:v>5.8</x:v>
      </x:c>
      <x:c r="P14" s="10" t="str">
        <x:v>Requires Max Mode on request-based plans; Agentic and reasoning capabilities; More token-efficient than GPT-5.4 on comparable tasks; Improved persistence on long-running tasks; Fast mode is available at higher rates; Long context (Max Mode) supports up to 1M tokens with 2x input pricing</x:v>
      </x:c>
      <x:c r="Q14" s="22" t="str">
        <x:v>https://platform.openai.com/docs/models/gpt-5</x:v>
      </x:c>
    </x:row>
    <x:row r="15">
      <x:c r="A15" s="21" t="n">
        <x:v>10</x:v>
      </x:c>
      <x:c r="B15" s="17" t="str">
        <x:v>GPT-5.4 (Fast Mode)</x:v>
      </x:c>
      <x:c r="C15" s="17" t="str">
        <x:v>OpenAI</x:v>
      </x:c>
      <x:c r="D15" s="17" t="str">
        <x:v>API</x:v>
      </x:c>
      <x:c r="E15" s="17" t="str">
        <x:v>Hidden in docs metadata</x:v>
      </x:c>
      <x:c r="F15" s="17" t="str">
        <x:v>gpt-5.4-fast</x:v>
      </x:c>
      <x:c r="G15" s="17" t="str">
        <x:v>Fast Mode</x:v>
      </x:c>
      <x:c r="H15" s="17" t="str">
        <x:v>272k</x:v>
      </x:c>
      <x:c r="I15" s="17" t="str">
        <x:v>1M</x:v>
      </x:c>
      <x:c r="J15" s="8" t="n">
        <x:v>5</x:v>
      </x:c>
      <x:c r="K15" s="8"/>
      <x:c r="L15" s="8" t="n">
        <x:v>0.5</x:v>
      </x:c>
      <x:c r="M15" s="8" t="n">
        <x:v>30</x:v>
      </x:c>
      <x:c r="N15" s="8" t="n">
        <x:f>SUM(J15:M15)</x:f>
        <x:v>35.5</x:v>
      </x:c>
      <x:c r="O15" s="8" t="n">
        <x:f>J15*'Assumptions'!$B$5+K15*'Assumptions'!$B$6+L15*'Assumptions'!$B$7+M15*'Assumptions'!$B$8+IF('Assumptions'!$B$11=1,IF(D15="API",'Assumptions'!$B$10,0),0)</x:f>
        <x:v>5.8</x:v>
      </x:c>
      <x:c r="P15" s="10" t="str">
        <x:v>Mode: Fast Mode; Requires Max Mode on request-based plans; Agentic and reasoning capabilities; 90% discount on cached input tokens; Fast mode is 15% faster with 2x pricing; Long context (Max Mode) supports up to 1M tokens with 2x input pricing</x:v>
      </x:c>
      <x:c r="Q15" s="22" t="str">
        <x:v>https://platform.openai.com/docs/models/gpt-5</x:v>
      </x:c>
    </x:row>
    <x:row r="16">
      <x:c r="A16" s="21" t="n">
        <x:v>11</x:v>
      </x:c>
      <x:c r="B16" s="17" t="str">
        <x:v>Claude Opus 4.8</x:v>
      </x:c>
      <x:c r="C16" s="17" t="str">
        <x:v>Anthropic</x:v>
      </x:c>
      <x:c r="D16" s="17" t="str">
        <x:v>API</x:v>
      </x:c>
      <x:c r="E16" s="17" t="str">
        <x:v>Visible in current docs</x:v>
      </x:c>
      <x:c r="F16" s="17" t="str">
        <x:v>claude-opus-4-8</x:v>
      </x:c>
      <x:c r="G16" s="17" t="str">
        <x:v>Default / thinking-capable</x:v>
      </x:c>
      <x:c r="H16" s="17" t="str">
        <x:v>300k</x:v>
      </x:c>
      <x:c r="I16" s="17" t="str">
        <x:v>1M</x:v>
      </x:c>
      <x:c r="J16" s="8" t="n">
        <x:v>5</x:v>
      </x:c>
      <x:c r="K16" s="8" t="n">
        <x:v>6.25</x:v>
      </x:c>
      <x:c r="L16" s="8" t="n">
        <x:v>0.5</x:v>
      </x:c>
      <x:c r="M16" s="8" t="n">
        <x:v>25</x:v>
      </x:c>
      <x:c r="N16" s="8" t="n">
        <x:f>SUM(J16:M16)</x:f>
        <x:v>36.75</x:v>
      </x:c>
      <x:c r="O16" s="8" t="n">
        <x:f>J16*'Assumptions'!$B$5+K16*'Assumptions'!$B$6+L16*'Assumptions'!$B$7+M16*'Assumptions'!$B$8+IF('Assumptions'!$B$11=1,IF(D16="API",'Assumptions'!$B$10,0),0)</x:f>
        <x:v>5.3625</x:v>
      </x:c>
      <x:c r="P16" s="10" t="str">
        <x:v>Requires Max Mode on request-based plans; Fast mode (`claude-opus-4-8-fast`) requires Max Mode; Fast mode is 3x lower per-token pricing than Opus 4.7 fast mode; Up to 1M tokens in Max Mode at the same per-token rates (no long-context surcharge)</x:v>
      </x:c>
      <x:c r="Q16" s="22" t="str">
        <x:v>https://www.anthropic.com/claude/opus</x:v>
      </x:c>
    </x:row>
    <x:row r="17">
      <x:c r="A17" s="21" t="n">
        <x:v>12</x:v>
      </x:c>
      <x:c r="B17" s="17" t="str">
        <x:v>Claude Opus 4.8 (Thinking)</x:v>
      </x:c>
      <x:c r="C17" s="17" t="str">
        <x:v>Anthropic</x:v>
      </x:c>
      <x:c r="D17" s="17" t="str">
        <x:v>API</x:v>
      </x:c>
      <x:c r="E17" s="17" t="str">
        <x:v>Visible in current docs</x:v>
      </x:c>
      <x:c r="F17" s="17" t="str">
        <x:v>claude-opus-4-8-thinking</x:v>
      </x:c>
      <x:c r="G17" s="17" t="str">
        <x:v>Thinking</x:v>
      </x:c>
      <x:c r="H17" s="17" t="str">
        <x:v>300k</x:v>
      </x:c>
      <x:c r="I17" s="17" t="str">
        <x:v>1M</x:v>
      </x:c>
      <x:c r="J17" s="8" t="n">
        <x:v>5</x:v>
      </x:c>
      <x:c r="K17" s="8" t="n">
        <x:v>6.25</x:v>
      </x:c>
      <x:c r="L17" s="8" t="n">
        <x:v>0.5</x:v>
      </x:c>
      <x:c r="M17" s="8" t="n">
        <x:v>25</x:v>
      </x:c>
      <x:c r="N17" s="8" t="n">
        <x:f>SUM(J17:M17)</x:f>
        <x:v>36.75</x:v>
      </x:c>
      <x:c r="O17" s="8" t="n">
        <x:f>J17*'Assumptions'!$B$5+K17*'Assumptions'!$B$6+L17*'Assumptions'!$B$7+M17*'Assumptions'!$B$8+IF('Assumptions'!$B$11=1,IF(D17="API",'Assumptions'!$B$10,0),0)</x:f>
        <x:v>5.3625</x:v>
      </x:c>
      <x:c r="P17" s="10" t="str">
        <x:v>Mode: Thinking; Same token rates as base model in Cursor metadata; Requires Max Mode on request-based plans; Fast mode (`claude-opus-4-8-fast`) requires Max Mode; Fast mode is 3x lower per-token pricing than Opus 4.7 fast mode; Up to 1M tokens in Max Mode at the same per-token rates (no long-context surcharge)</x:v>
      </x:c>
      <x:c r="Q17" s="22" t="str">
        <x:v>https://www.anthropic.com/claude/opus</x:v>
      </x:c>
    </x:row>
    <x:row r="18">
      <x:c r="A18" s="21" t="n">
        <x:v>13</x:v>
      </x:c>
      <x:c r="B18" s="17" t="str">
        <x:v>Claude 4.7 Opus</x:v>
      </x:c>
      <x:c r="C18" s="17" t="str">
        <x:v>Anthropic</x:v>
      </x:c>
      <x:c r="D18" s="17" t="str">
        <x:v>API</x:v>
      </x:c>
      <x:c r="E18" s="17" t="str">
        <x:v>Hidden in docs metadata</x:v>
      </x:c>
      <x:c r="F18" s="17" t="str">
        <x:v>claude-opus-4-7</x:v>
      </x:c>
      <x:c r="G18" s="17" t="str">
        <x:v>Default / thinking-capable</x:v>
      </x:c>
      <x:c r="H18" s="17" t="str">
        <x:v>300k</x:v>
      </x:c>
      <x:c r="I18" s="17" t="str">
        <x:v>1M</x:v>
      </x:c>
      <x:c r="J18" s="8" t="n">
        <x:v>5</x:v>
      </x:c>
      <x:c r="K18" s="8" t="n">
        <x:v>6.25</x:v>
      </x:c>
      <x:c r="L18" s="8" t="n">
        <x:v>0.5</x:v>
      </x:c>
      <x:c r="M18" s="8" t="n">
        <x:v>25</x:v>
      </x:c>
      <x:c r="N18" s="8" t="n">
        <x:f>SUM(J18:M18)</x:f>
        <x:v>36.75</x:v>
      </x:c>
      <x:c r="O18" s="8" t="n">
        <x:f>J18*'Assumptions'!$B$5+K18*'Assumptions'!$B$6+L18*'Assumptions'!$B$7+M18*'Assumptions'!$B$8+IF('Assumptions'!$B$11=1,IF(D18="API",'Assumptions'!$B$10,0),0)</x:f>
        <x:v>5.3625</x:v>
      </x:c>
      <x:c r="P18" s="10" t="str">
        <x:v>Requires Max Mode on request-based plans; Up to 1M tokens in Max Mode at the same per-token rates (no long-context surcharge)</x:v>
      </x:c>
      <x:c r="Q18" s="22" t="str">
        <x:v>https://www.anthropic.com/claude/opus</x:v>
      </x:c>
    </x:row>
    <x:row r="19">
      <x:c r="A19" s="21" t="n">
        <x:v>14</x:v>
      </x:c>
      <x:c r="B19" s="17" t="str">
        <x:v>Claude 4.7 Opus (Thinking)</x:v>
      </x:c>
      <x:c r="C19" s="17" t="str">
        <x:v>Anthropic</x:v>
      </x:c>
      <x:c r="D19" s="17" t="str">
        <x:v>API</x:v>
      </x:c>
      <x:c r="E19" s="17" t="str">
        <x:v>Hidden in docs metadata</x:v>
      </x:c>
      <x:c r="F19" s="17" t="str">
        <x:v>claude-opus-4-7-thinking</x:v>
      </x:c>
      <x:c r="G19" s="17" t="str">
        <x:v>Thinking</x:v>
      </x:c>
      <x:c r="H19" s="17" t="str">
        <x:v>300k</x:v>
      </x:c>
      <x:c r="I19" s="17" t="str">
        <x:v>1M</x:v>
      </x:c>
      <x:c r="J19" s="8" t="n">
        <x:v>5</x:v>
      </x:c>
      <x:c r="K19" s="8" t="n">
        <x:v>6.25</x:v>
      </x:c>
      <x:c r="L19" s="8" t="n">
        <x:v>0.5</x:v>
      </x:c>
      <x:c r="M19" s="8" t="n">
        <x:v>25</x:v>
      </x:c>
      <x:c r="N19" s="8" t="n">
        <x:f>SUM(J19:M19)</x:f>
        <x:v>36.75</x:v>
      </x:c>
      <x:c r="O19" s="8" t="n">
        <x:f>J19*'Assumptions'!$B$5+K19*'Assumptions'!$B$6+L19*'Assumptions'!$B$7+M19*'Assumptions'!$B$8+IF('Assumptions'!$B$11=1,IF(D19="API",'Assumptions'!$B$10,0),0)</x:f>
        <x:v>5.3625</x:v>
      </x:c>
      <x:c r="P19" s="10" t="str">
        <x:v>Mode: Thinking; Same token rates as base model in Cursor metadata; Requires Max Mode on request-based plans; Up to 1M tokens in Max Mode at the same per-token rates (no long-context surcharge)</x:v>
      </x:c>
      <x:c r="Q19" s="22" t="str">
        <x:v>https://www.anthropic.com/claude/opus</x:v>
      </x:c>
    </x:row>
    <x:row r="20">
      <x:c r="A20" s="21" t="n">
        <x:v>15</x:v>
      </x:c>
      <x:c r="B20" s="17" t="str">
        <x:v>Claude 4.6 Opus</x:v>
      </x:c>
      <x:c r="C20" s="17" t="str">
        <x:v>Anthropic</x:v>
      </x:c>
      <x:c r="D20" s="17" t="str">
        <x:v>API</x:v>
      </x:c>
      <x:c r="E20" s="17" t="str">
        <x:v>Hidden in docs metadata</x:v>
      </x:c>
      <x:c r="F20" s="17" t="str">
        <x:v>claude-4-6-opus</x:v>
      </x:c>
      <x:c r="G20" s="17" t="str">
        <x:v>Default / thinking-capable</x:v>
      </x:c>
      <x:c r="H20" s="17" t="str">
        <x:v>200k</x:v>
      </x:c>
      <x:c r="I20" s="17" t="str">
        <x:v>1M</x:v>
      </x:c>
      <x:c r="J20" s="8" t="n">
        <x:v>5</x:v>
      </x:c>
      <x:c r="K20" s="8" t="n">
        <x:v>6.25</x:v>
      </x:c>
      <x:c r="L20" s="8" t="n">
        <x:v>0.5</x:v>
      </x:c>
      <x:c r="M20" s="8" t="n">
        <x:v>25</x:v>
      </x:c>
      <x:c r="N20" s="8" t="n">
        <x:f>SUM(J20:M20)</x:f>
        <x:v>36.75</x:v>
      </x:c>
      <x:c r="O20" s="8" t="n">
        <x:f>J20*'Assumptions'!$B$5+K20*'Assumptions'!$B$6+L20*'Assumptions'!$B$7+M20*'Assumptions'!$B$8+IF('Assumptions'!$B$11=1,IF(D20="API",'Assumptions'!$B$10,0),0)</x:f>
        <x:v>5.3625</x:v>
      </x:c>
      <x:c r="P20" s="10" t="str">
        <x:v>Requires Max Mode on request-based plans; Up to 1M tokens in Max Mode at the same per-token rates (no long-context surcharge)</x:v>
      </x:c>
      <x:c r="Q20" s="22" t="str">
        <x:v>https://www.anthropic.com/claude/opus</x:v>
      </x:c>
    </x:row>
    <x:row r="21">
      <x:c r="A21" s="21" t="n">
        <x:v>16</x:v>
      </x:c>
      <x:c r="B21" s="17" t="str">
        <x:v>Claude 4.6 Opus (Thinking)</x:v>
      </x:c>
      <x:c r="C21" s="17" t="str">
        <x:v>Anthropic</x:v>
      </x:c>
      <x:c r="D21" s="17" t="str">
        <x:v>API</x:v>
      </x:c>
      <x:c r="E21" s="17" t="str">
        <x:v>Hidden in docs metadata</x:v>
      </x:c>
      <x:c r="F21" s="17" t="str">
        <x:v>claude-4-6-opus-thinking</x:v>
      </x:c>
      <x:c r="G21" s="17" t="str">
        <x:v>Thinking</x:v>
      </x:c>
      <x:c r="H21" s="17" t="str">
        <x:v>200k</x:v>
      </x:c>
      <x:c r="I21" s="17" t="str">
        <x:v>1M</x:v>
      </x:c>
      <x:c r="J21" s="8" t="n">
        <x:v>5</x:v>
      </x:c>
      <x:c r="K21" s="8" t="n">
        <x:v>6.25</x:v>
      </x:c>
      <x:c r="L21" s="8" t="n">
        <x:v>0.5</x:v>
      </x:c>
      <x:c r="M21" s="8" t="n">
        <x:v>25</x:v>
      </x:c>
      <x:c r="N21" s="8" t="n">
        <x:f>SUM(J21:M21)</x:f>
        <x:v>36.75</x:v>
      </x:c>
      <x:c r="O21" s="8" t="n">
        <x:f>J21*'Assumptions'!$B$5+K21*'Assumptions'!$B$6+L21*'Assumptions'!$B$7+M21*'Assumptions'!$B$8+IF('Assumptions'!$B$11=1,IF(D21="API",'Assumptions'!$B$10,0),0)</x:f>
        <x:v>5.3625</x:v>
      </x:c>
      <x:c r="P21" s="10" t="str">
        <x:v>Mode: Thinking; Same token rates as base model in Cursor metadata; Requires Max Mode on request-based plans; Up to 1M tokens in Max Mode at the same per-token rates (no long-context surcharge)</x:v>
      </x:c>
      <x:c r="Q21" s="22" t="str">
        <x:v>https://www.anthropic.com/claude/opus</x:v>
      </x:c>
    </x:row>
    <x:row r="22">
      <x:c r="A22" s="21" t="n">
        <x:v>17</x:v>
      </x:c>
      <x:c r="B22" s="17" t="str">
        <x:v>Claude 4.5 Opus</x:v>
      </x:c>
      <x:c r="C22" s="17" t="str">
        <x:v>Anthropic</x:v>
      </x:c>
      <x:c r="D22" s="17" t="str">
        <x:v>API</x:v>
      </x:c>
      <x:c r="E22" s="17" t="str">
        <x:v>Hidden in docs metadata</x:v>
      </x:c>
      <x:c r="F22" s="17" t="str">
        <x:v>claude-4-5-opus</x:v>
      </x:c>
      <x:c r="G22" s="17" t="str">
        <x:v>Default / thinking-capable</x:v>
      </x:c>
      <x:c r="H22" s="17" t="str">
        <x:v>200k</x:v>
      </x:c>
      <x:c r="I22" s="17" t="str">
        <x:v>200k</x:v>
      </x:c>
      <x:c r="J22" s="8" t="n">
        <x:v>5</x:v>
      </x:c>
      <x:c r="K22" s="8" t="n">
        <x:v>6.25</x:v>
      </x:c>
      <x:c r="L22" s="8" t="n">
        <x:v>0.5</x:v>
      </x:c>
      <x:c r="M22" s="8" t="n">
        <x:v>25</x:v>
      </x:c>
      <x:c r="N22" s="8" t="n">
        <x:f>SUM(J22:M22)</x:f>
        <x:v>36.75</x:v>
      </x:c>
      <x:c r="O22" s="8" t="n">
        <x:f>J22*'Assumptions'!$B$5+K22*'Assumptions'!$B$6+L22*'Assumptions'!$B$7+M22*'Assumptions'!$B$8+IF('Assumptions'!$B$11=1,IF(D22="API",'Assumptions'!$B$10,0),0)</x:f>
        <x:v>5.3625</x:v>
      </x:c>
      <x:c r="P22" s="10" t="str">
        <x:v>Requires Max Mode on request-based plans</x:v>
      </x:c>
      <x:c r="Q22" s="22" t="str">
        <x:v>https://www.anthropic.com/claude/opus</x:v>
      </x:c>
    </x:row>
    <x:row r="23">
      <x:c r="A23" s="21" t="n">
        <x:v>18</x:v>
      </x:c>
      <x:c r="B23" s="17" t="str">
        <x:v>Claude 4.5 Opus (Thinking)</x:v>
      </x:c>
      <x:c r="C23" s="17" t="str">
        <x:v>Anthropic</x:v>
      </x:c>
      <x:c r="D23" s="17" t="str">
        <x:v>API</x:v>
      </x:c>
      <x:c r="E23" s="17" t="str">
        <x:v>Hidden in docs metadata</x:v>
      </x:c>
      <x:c r="F23" s="17" t="str">
        <x:v>claude-4-5-opus-thinking</x:v>
      </x:c>
      <x:c r="G23" s="17" t="str">
        <x:v>Thinking</x:v>
      </x:c>
      <x:c r="H23" s="17" t="str">
        <x:v>200k</x:v>
      </x:c>
      <x:c r="I23" s="17" t="str">
        <x:v>200k</x:v>
      </x:c>
      <x:c r="J23" s="8" t="n">
        <x:v>5</x:v>
      </x:c>
      <x:c r="K23" s="8" t="n">
        <x:v>6.25</x:v>
      </x:c>
      <x:c r="L23" s="8" t="n">
        <x:v>0.5</x:v>
      </x:c>
      <x:c r="M23" s="8" t="n">
        <x:v>25</x:v>
      </x:c>
      <x:c r="N23" s="8" t="n">
        <x:f>SUM(J23:M23)</x:f>
        <x:v>36.75</x:v>
      </x:c>
      <x:c r="O23" s="8" t="n">
        <x:f>J23*'Assumptions'!$B$5+K23*'Assumptions'!$B$6+L23*'Assumptions'!$B$7+M23*'Assumptions'!$B$8+IF('Assumptions'!$B$11=1,IF(D23="API",'Assumptions'!$B$10,0),0)</x:f>
        <x:v>5.3625</x:v>
      </x:c>
      <x:c r="P23" s="10" t="str">
        <x:v>Mode: Thinking; Same token rates as base model in Cursor metadata; Requires Max Mode on request-based plans</x:v>
      </x:c>
      <x:c r="Q23" s="22" t="str">
        <x:v>https://www.anthropic.com/claude/opus</x:v>
      </x:c>
    </x:row>
    <x:row r="24">
      <x:c r="A24" s="21" t="n">
        <x:v>19</x:v>
      </x:c>
      <x:c r="B24" s="17" t="str">
        <x:v>Claude 4 Sonnet 1M</x:v>
      </x:c>
      <x:c r="C24" s="17" t="str">
        <x:v>Anthropic</x:v>
      </x:c>
      <x:c r="D24" s="17" t="str">
        <x:v>API</x:v>
      </x:c>
      <x:c r="E24" s="17" t="str">
        <x:v>Hidden in docs metadata</x:v>
      </x:c>
      <x:c r="F24" s="17" t="str">
        <x:v>claude-4-sonnet-1m</x:v>
      </x:c>
      <x:c r="G24" s="17" t="str">
        <x:v>Default / thinking-capable</x:v>
      </x:c>
      <x:c r="H24" s="17" t="str">
        <x:v>-</x:v>
      </x:c>
      <x:c r="I24" s="17" t="str">
        <x:v>1M</x:v>
      </x:c>
      <x:c r="J24" s="8" t="n">
        <x:v>6</x:v>
      </x:c>
      <x:c r="K24" s="8" t="n">
        <x:v>7.5</x:v>
      </x:c>
      <x:c r="L24" s="8" t="n">
        <x:v>0.6</x:v>
      </x:c>
      <x:c r="M24" s="8" t="n">
        <x:v>22.5</x:v>
      </x:c>
      <x:c r="N24" s="8" t="n">
        <x:f>SUM(J24:M24)</x:f>
        <x:v>36.6</x:v>
      </x:c>
      <x:c r="O24" s="8" t="n">
        <x:f>J24*'Assumptions'!$B$5+K24*'Assumptions'!$B$6+L24*'Assumptions'!$B$7+M24*'Assumptions'!$B$8+IF('Assumptions'!$B$11=1,IF(D24="API",'Assumptions'!$B$10,0),0)</x:f>
        <x:v>5.3100000000000005</x:v>
      </x:c>
      <x:c r="P24" s="10" t="str">
        <x:v>Thinking variant counts as 2 requests in legacy pricing; This model can be very expensive due to the large context window; The cost is 2x when the input exceeds 200k tokens</x:v>
      </x:c>
      <x:c r="Q24" s="22" t="str">
        <x:v>https://www.anthropic.com/claude/sonnet</x:v>
      </x:c>
    </x:row>
    <x:row r="25">
      <x:c r="A25" s="21" t="n">
        <x:v>20</x:v>
      </x:c>
      <x:c r="B25" s="17" t="str">
        <x:v>Claude 4 Sonnet 1M (Thinking)</x:v>
      </x:c>
      <x:c r="C25" s="17" t="str">
        <x:v>Anthropic</x:v>
      </x:c>
      <x:c r="D25" s="17" t="str">
        <x:v>API</x:v>
      </x:c>
      <x:c r="E25" s="17" t="str">
        <x:v>Hidden in docs metadata</x:v>
      </x:c>
      <x:c r="F25" s="17" t="str">
        <x:v>claude-4-sonnet-1m-thinking</x:v>
      </x:c>
      <x:c r="G25" s="17" t="str">
        <x:v>Thinking</x:v>
      </x:c>
      <x:c r="H25" s="17" t="str">
        <x:v>-</x:v>
      </x:c>
      <x:c r="I25" s="17" t="str">
        <x:v>1M</x:v>
      </x:c>
      <x:c r="J25" s="8" t="n">
        <x:v>6</x:v>
      </x:c>
      <x:c r="K25" s="8" t="n">
        <x:v>7.5</x:v>
      </x:c>
      <x:c r="L25" s="8" t="n">
        <x:v>0.6</x:v>
      </x:c>
      <x:c r="M25" s="8" t="n">
        <x:v>22.5</x:v>
      </x:c>
      <x:c r="N25" s="8" t="n">
        <x:f>SUM(J25:M25)</x:f>
        <x:v>36.6</x:v>
      </x:c>
      <x:c r="O25" s="8" t="n">
        <x:f>J25*'Assumptions'!$B$5+K25*'Assumptions'!$B$6+L25*'Assumptions'!$B$7+M25*'Assumptions'!$B$8+IF('Assumptions'!$B$11=1,IF(D25="API",'Assumptions'!$B$10,0),0)</x:f>
        <x:v>5.3100000000000005</x:v>
      </x:c>
      <x:c r="P25" s="10" t="str">
        <x:v>Mode: Thinking; Same token rates as base model in Cursor metadata; Thinking variant counts as 2 requests in legacy pricing; This model can be very expensive due to the large context window; The cost is 2x when the input exceeds 200k tokens</x:v>
      </x:c>
      <x:c r="Q25" s="22" t="str">
        <x:v>https://www.anthropic.com/claude/sonnet</x:v>
      </x:c>
    </x:row>
    <x:row r="26">
      <x:c r="A26" s="21" t="n">
        <x:v>21</x:v>
      </x:c>
      <x:c r="B26" s="17" t="str">
        <x:v>GPT-5.4 (Long Context (&gt;272k))</x:v>
      </x:c>
      <x:c r="C26" s="17" t="str">
        <x:v>OpenAI</x:v>
      </x:c>
      <x:c r="D26" s="17" t="str">
        <x:v>API</x:v>
      </x:c>
      <x:c r="E26" s="17" t="str">
        <x:v>Hidden in docs metadata</x:v>
      </x:c>
      <x:c r="F26" s="17" t="str">
        <x:v>gpt-5.4-long</x:v>
      </x:c>
      <x:c r="G26" s="17" t="str">
        <x:v>Long Context (&gt;272k)</x:v>
      </x:c>
      <x:c r="H26" s="17" t="str">
        <x:v>272k</x:v>
      </x:c>
      <x:c r="I26" s="17" t="str">
        <x:v>1M</x:v>
      </x:c>
      <x:c r="J26" s="8" t="n">
        <x:v>5</x:v>
      </x:c>
      <x:c r="K26" s="8"/>
      <x:c r="L26" s="8" t="n">
        <x:v>0.5</x:v>
      </x:c>
      <x:c r="M26" s="8" t="n">
        <x:v>22.5</x:v>
      </x:c>
      <x:c r="N26" s="8" t="n">
        <x:f>SUM(J26:M26)</x:f>
        <x:v>28</x:v>
      </x:c>
      <x:c r="O26" s="8" t="n">
        <x:f>J26*'Assumptions'!$B$5+K26*'Assumptions'!$B$6+L26*'Assumptions'!$B$7+M26*'Assumptions'!$B$8+IF('Assumptions'!$B$11=1,IF(D26="API",'Assumptions'!$B$10,0),0)</x:f>
        <x:v>4.675</x:v>
      </x:c>
      <x:c r="P26" s="10" t="str">
        <x:v>Mode: Long Context (&gt;272k); Requires Max Mode on request-based plans; Agentic and reasoning capabilities; 90% discount on cached input tokens; Fast mode is 15% faster with 2x pricing; Long context (Max Mode) supports up to 1M tokens with 2x input pricing</x:v>
      </x:c>
      <x:c r="Q26" s="22" t="str">
        <x:v>https://platform.openai.com/docs/models/gpt-5</x:v>
      </x:c>
    </x:row>
    <x:row r="27">
      <x:c r="A27" s="21" t="n">
        <x:v>22</x:v>
      </x:c>
      <x:c r="B27" s="17" t="str">
        <x:v>Gemini 3.1 Pro (Long Context (&gt;200k))</x:v>
      </x:c>
      <x:c r="C27" s="17" t="str">
        <x:v>Google</x:v>
      </x:c>
      <x:c r="D27" s="17" t="str">
        <x:v>API</x:v>
      </x:c>
      <x:c r="E27" s="17" t="str">
        <x:v>Visible in current docs</x:v>
      </x:c>
      <x:c r="F27" s="17" t="str">
        <x:v>gemini-3.1-long</x:v>
      </x:c>
      <x:c r="G27" s="17" t="str">
        <x:v>Long Context (&gt;200k)</x:v>
      </x:c>
      <x:c r="H27" s="17" t="str">
        <x:v>200k</x:v>
      </x:c>
      <x:c r="I27" s="17" t="str">
        <x:v>1M</x:v>
      </x:c>
      <x:c r="J27" s="8" t="n">
        <x:v>4</x:v>
      </x:c>
      <x:c r="K27" s="8"/>
      <x:c r="L27" s="8" t="n">
        <x:v>0.4</x:v>
      </x:c>
      <x:c r="M27" s="8" t="n">
        <x:v>18</x:v>
      </x:c>
      <x:c r="N27" s="8" t="n">
        <x:f>SUM(J27:M27)</x:f>
        <x:v>22.4</x:v>
      </x:c>
      <x:c r="O27" s="8" t="n">
        <x:f>J27*'Assumptions'!$B$5+K27*'Assumptions'!$B$6+L27*'Assumptions'!$B$7+M27*'Assumptions'!$B$8+IF('Assumptions'!$B$11=1,IF(D27="API",'Assumptions'!$B$10,0),0)</x:f>
        <x:v>3.7399999999999998</x:v>
      </x:c>
      <x:c r="P27" s="10" t="str">
        <x:v>Mode: Long Context (&gt;200k)</x:v>
      </x:c>
      <x:c r="Q27" s="22" t="str">
        <x:v>https://ai.google.dev/gemini-api/docs/pricing</x:v>
      </x:c>
    </x:row>
    <x:row r="28">
      <x:c r="A28" s="21" t="n">
        <x:v>23</x:v>
      </x:c>
      <x:c r="B28" s="17" t="str">
        <x:v>Gemini 3 Pro (Long Context (&gt;200k))</x:v>
      </x:c>
      <x:c r="C28" s="17" t="str">
        <x:v>Google</x:v>
      </x:c>
      <x:c r="D28" s="17" t="str">
        <x:v>API</x:v>
      </x:c>
      <x:c r="E28" s="17" t="str">
        <x:v>Hidden in docs metadata</x:v>
      </x:c>
      <x:c r="F28" s="17" t="str">
        <x:v>gemini-3-long</x:v>
      </x:c>
      <x:c r="G28" s="17" t="str">
        <x:v>Long Context (&gt;200k)</x:v>
      </x:c>
      <x:c r="H28" s="17" t="str">
        <x:v>200k</x:v>
      </x:c>
      <x:c r="I28" s="17" t="str">
        <x:v>1M</x:v>
      </x:c>
      <x:c r="J28" s="8" t="n">
        <x:v>4</x:v>
      </x:c>
      <x:c r="K28" s="8"/>
      <x:c r="L28" s="8" t="n">
        <x:v>0.4</x:v>
      </x:c>
      <x:c r="M28" s="8" t="n">
        <x:v>18</x:v>
      </x:c>
      <x:c r="N28" s="8" t="n">
        <x:f>SUM(J28:M28)</x:f>
        <x:v>22.4</x:v>
      </x:c>
      <x:c r="O28" s="8" t="n">
        <x:f>J28*'Assumptions'!$B$5+K28*'Assumptions'!$B$6+L28*'Assumptions'!$B$7+M28*'Assumptions'!$B$8+IF('Assumptions'!$B$11=1,IF(D28="API",'Assumptions'!$B$10,0),0)</x:f>
        <x:v>3.7399999999999998</x:v>
      </x:c>
      <x:c r="P28" s="10" t="str">
        <x:v>Mode: Long Context (&gt;200k)</x:v>
      </x:c>
      <x:c r="Q28" s="22" t="str">
        <x:v>https://ai.google.dev/gemini-api/docs/pricing</x:v>
      </x:c>
    </x:row>
    <x:row r="29">
      <x:c r="A29" s="21" t="n">
        <x:v>24</x:v>
      </x:c>
      <x:c r="B29" s="17" t="str">
        <x:v>GPT-5 Fast</x:v>
      </x:c>
      <x:c r="C29" s="17" t="str">
        <x:v>OpenAI</x:v>
      </x:c>
      <x:c r="D29" s="17" t="str">
        <x:v>API</x:v>
      </x:c>
      <x:c r="E29" s="17" t="str">
        <x:v>Hidden in docs metadata</x:v>
      </x:c>
      <x:c r="F29" s="17" t="str">
        <x:v>gpt-5-fast</x:v>
      </x:c>
      <x:c r="G29" s="17" t="str">
        <x:v>Default / thinking-capable</x:v>
      </x:c>
      <x:c r="H29" s="17" t="str">
        <x:v>272k</x:v>
      </x:c>
      <x:c r="I29" s="17" t="str">
        <x:v>-</x:v>
      </x:c>
      <x:c r="J29" s="8" t="n">
        <x:v>2.5</x:v>
      </x:c>
      <x:c r="K29" s="8"/>
      <x:c r="L29" s="8" t="n">
        <x:v>0.25</x:v>
      </x:c>
      <x:c r="M29" s="8" t="n">
        <x:v>20</x:v>
      </x:c>
      <x:c r="N29" s="8" t="n">
        <x:f>SUM(J29:M29)</x:f>
        <x:v>22.75</x:v>
      </x:c>
      <x:c r="O29" s="8" t="n">
        <x:f>J29*'Assumptions'!$B$5+K29*'Assumptions'!$B$6+L29*'Assumptions'!$B$7+M29*'Assumptions'!$B$8+IF('Assumptions'!$B$11=1,IF(D29="API",'Assumptions'!$B$10,0),0)</x:f>
        <x:v>3.65</x:v>
      </x:c>
      <x:c r="P29" s="10" t="str">
        <x:v>Faster speed but 2x price; Available reasoning effort variants are gpt-5-high-fast, gpt-5-low-fast</x:v>
      </x:c>
      <x:c r="Q29" s="22" t="str">
        <x:v>https://platform.openai.com/docs/models/gpt-5</x:v>
      </x:c>
    </x:row>
    <x:row r="30">
      <x:c r="A30" s="21" t="n">
        <x:v>25</x:v>
      </x:c>
      <x:c r="B30" s="17" t="str">
        <x:v>Composer 1.5</x:v>
      </x:c>
      <x:c r="C30" s="17" t="str">
        <x:v>Cursor</x:v>
      </x:c>
      <x:c r="D30" s="17" t="str">
        <x:v>Auto + Composer</x:v>
      </x:c>
      <x:c r="E30" s="17" t="str">
        <x:v>Hidden in docs metadata</x:v>
      </x:c>
      <x:c r="F30" s="17" t="str">
        <x:v>composer-1.5</x:v>
      </x:c>
      <x:c r="G30" s="17" t="str">
        <x:v>Default / thinking-capable</x:v>
      </x:c>
      <x:c r="H30" s="17" t="str">
        <x:v>200k</x:v>
      </x:c>
      <x:c r="I30" s="17" t="str">
        <x:v>-</x:v>
      </x:c>
      <x:c r="J30" s="8" t="n">
        <x:v>3.5</x:v>
      </x:c>
      <x:c r="K30" s="8"/>
      <x:c r="L30" s="8" t="n">
        <x:v>0.35</x:v>
      </x:c>
      <x:c r="M30" s="8" t="n">
        <x:v>17.5</x:v>
      </x:c>
      <x:c r="N30" s="8" t="n">
        <x:f>SUM(J30:M30)</x:f>
        <x:v>21.35</x:v>
      </x:c>
      <x:c r="O30" s="8" t="n">
        <x:f>J30*'Assumptions'!$B$5+K30*'Assumptions'!$B$6+L30*'Assumptions'!$B$7+M30*'Assumptions'!$B$8+IF('Assumptions'!$B$11=1,IF(D30="API",'Assumptions'!$B$10,0),0)</x:f>
        <x:v>3.535</x:v>
      </x:c>
      <x:c r="P30" s="10" t="str"/>
      <x:c r="Q30" s="22" t="str">
        <x:v>https://cursor.com</x:v>
      </x:c>
    </x:row>
    <x:row r="31">
      <x:c r="A31" s="21" t="n">
        <x:v>26</x:v>
      </x:c>
      <x:c r="B31" s="17" t="str">
        <x:v>Claude 4 Sonnet</x:v>
      </x:c>
      <x:c r="C31" s="17" t="str">
        <x:v>Anthropic</x:v>
      </x:c>
      <x:c r="D31" s="17" t="str">
        <x:v>API</x:v>
      </x:c>
      <x:c r="E31" s="17" t="str">
        <x:v>Hidden in docs metadata</x:v>
      </x:c>
      <x:c r="F31" s="17" t="str">
        <x:v>claude-4-sonnet</x:v>
      </x:c>
      <x:c r="G31" s="17" t="str">
        <x:v>Default / thinking-capable</x:v>
      </x:c>
      <x:c r="H31" s="17" t="str">
        <x:v>200k</x:v>
      </x:c>
      <x:c r="I31" s="17" t="str">
        <x:v>-</x:v>
      </x:c>
      <x:c r="J31" s="8" t="n">
        <x:v>3</x:v>
      </x:c>
      <x:c r="K31" s="8" t="n">
        <x:v>3.75</x:v>
      </x:c>
      <x:c r="L31" s="8" t="n">
        <x:v>0.3</x:v>
      </x:c>
      <x:c r="M31" s="8" t="n">
        <x:v>15</x:v>
      </x:c>
      <x:c r="N31" s="8" t="n">
        <x:f>SUM(J31:M31)</x:f>
        <x:v>22.05</x:v>
      </x:c>
      <x:c r="O31" s="8" t="n">
        <x:f>J31*'Assumptions'!$B$5+K31*'Assumptions'!$B$6+L31*'Assumptions'!$B$7+M31*'Assumptions'!$B$8+IF('Assumptions'!$B$11=1,IF(D31="API",'Assumptions'!$B$10,0),0)</x:f>
        <x:v>3.2175000000000002</x:v>
      </x:c>
      <x:c r="P31" s="10" t="str">
        <x:v>Thinking variant counts as 2 requests in legacy pricing</x:v>
      </x:c>
      <x:c r="Q31" s="22" t="str">
        <x:v>https://www.anthropic.com/claude/sonnet</x:v>
      </x:c>
    </x:row>
    <x:row r="32">
      <x:c r="A32" s="21" t="n">
        <x:v>27</x:v>
      </x:c>
      <x:c r="B32" s="17" t="str">
        <x:v>Claude 4 Sonnet (Thinking)</x:v>
      </x:c>
      <x:c r="C32" s="17" t="str">
        <x:v>Anthropic</x:v>
      </x:c>
      <x:c r="D32" s="17" t="str">
        <x:v>API</x:v>
      </x:c>
      <x:c r="E32" s="17" t="str">
        <x:v>Hidden in docs metadata</x:v>
      </x:c>
      <x:c r="F32" s="17" t="str">
        <x:v>claude-4-sonnet-thinking</x:v>
      </x:c>
      <x:c r="G32" s="17" t="str">
        <x:v>Thinking</x:v>
      </x:c>
      <x:c r="H32" s="17" t="str">
        <x:v>200k</x:v>
      </x:c>
      <x:c r="I32" s="17" t="str">
        <x:v>-</x:v>
      </x:c>
      <x:c r="J32" s="8" t="n">
        <x:v>3</x:v>
      </x:c>
      <x:c r="K32" s="8" t="n">
        <x:v>3.75</x:v>
      </x:c>
      <x:c r="L32" s="8" t="n">
        <x:v>0.3</x:v>
      </x:c>
      <x:c r="M32" s="8" t="n">
        <x:v>15</x:v>
      </x:c>
      <x:c r="N32" s="8" t="n">
        <x:f>SUM(J32:M32)</x:f>
        <x:v>22.05</x:v>
      </x:c>
      <x:c r="O32" s="8" t="n">
        <x:f>J32*'Assumptions'!$B$5+K32*'Assumptions'!$B$6+L32*'Assumptions'!$B$7+M32*'Assumptions'!$B$8+IF('Assumptions'!$B$11=1,IF(D32="API",'Assumptions'!$B$10,0),0)</x:f>
        <x:v>3.2175000000000002</x:v>
      </x:c>
      <x:c r="P32" s="10" t="str">
        <x:v>Mode: Thinking; Same token rates as base model in Cursor metadata; Thinking variant counts as 2 requests in legacy pricing</x:v>
      </x:c>
      <x:c r="Q32" s="22" t="str">
        <x:v>https://www.anthropic.com/claude/sonnet</x:v>
      </x:c>
    </x:row>
    <x:row r="33">
      <x:c r="A33" s="21" t="n">
        <x:v>28</x:v>
      </x:c>
      <x:c r="B33" s="17" t="str">
        <x:v>Claude 4.6 Sonnet</x:v>
      </x:c>
      <x:c r="C33" s="17" t="str">
        <x:v>Anthropic</x:v>
      </x:c>
      <x:c r="D33" s="17" t="str">
        <x:v>API</x:v>
      </x:c>
      <x:c r="E33" s="17" t="str">
        <x:v>Visible in current docs</x:v>
      </x:c>
      <x:c r="F33" s="17" t="str">
        <x:v>claude-4-6-sonnet</x:v>
      </x:c>
      <x:c r="G33" s="17" t="str">
        <x:v>Default / thinking-capable</x:v>
      </x:c>
      <x:c r="H33" s="17" t="str">
        <x:v>200k</x:v>
      </x:c>
      <x:c r="I33" s="17" t="str">
        <x:v>1M</x:v>
      </x:c>
      <x:c r="J33" s="8" t="n">
        <x:v>3</x:v>
      </x:c>
      <x:c r="K33" s="8" t="n">
        <x:v>3.75</x:v>
      </x:c>
      <x:c r="L33" s="8" t="n">
        <x:v>0.3</x:v>
      </x:c>
      <x:c r="M33" s="8" t="n">
        <x:v>15</x:v>
      </x:c>
      <x:c r="N33" s="8" t="n">
        <x:f>SUM(J33:M33)</x:f>
        <x:v>22.05</x:v>
      </x:c>
      <x:c r="O33" s="8" t="n">
        <x:f>J33*'Assumptions'!$B$5+K33*'Assumptions'!$B$6+L33*'Assumptions'!$B$7+M33*'Assumptions'!$B$8+IF('Assumptions'!$B$11=1,IF(D33="API",'Assumptions'!$B$10,0),0)</x:f>
        <x:v>3.2175000000000002</x:v>
      </x:c>
      <x:c r="P33" s="10" t="str">
        <x:v>Requires Max Mode on request-based plans; Up to 1M tokens in Max Mode at the same per-token rates (no long-context surcharge)</x:v>
      </x:c>
      <x:c r="Q33" s="22" t="str">
        <x:v>https://www.anthropic.com/claude/sonnet</x:v>
      </x:c>
    </x:row>
    <x:row r="34">
      <x:c r="A34" s="21" t="n">
        <x:v>29</x:v>
      </x:c>
      <x:c r="B34" s="17" t="str">
        <x:v>Claude 4.6 Sonnet (Thinking)</x:v>
      </x:c>
      <x:c r="C34" s="17" t="str">
        <x:v>Anthropic</x:v>
      </x:c>
      <x:c r="D34" s="17" t="str">
        <x:v>API</x:v>
      </x:c>
      <x:c r="E34" s="17" t="str">
        <x:v>Visible in current docs</x:v>
      </x:c>
      <x:c r="F34" s="17" t="str">
        <x:v>claude-4-6-sonnet-thinking</x:v>
      </x:c>
      <x:c r="G34" s="17" t="str">
        <x:v>Thinking</x:v>
      </x:c>
      <x:c r="H34" s="17" t="str">
        <x:v>200k</x:v>
      </x:c>
      <x:c r="I34" s="17" t="str">
        <x:v>1M</x:v>
      </x:c>
      <x:c r="J34" s="8" t="n">
        <x:v>3</x:v>
      </x:c>
      <x:c r="K34" s="8" t="n">
        <x:v>3.75</x:v>
      </x:c>
      <x:c r="L34" s="8" t="n">
        <x:v>0.3</x:v>
      </x:c>
      <x:c r="M34" s="8" t="n">
        <x:v>15</x:v>
      </x:c>
      <x:c r="N34" s="8" t="n">
        <x:f>SUM(J34:M34)</x:f>
        <x:v>22.05</x:v>
      </x:c>
      <x:c r="O34" s="8" t="n">
        <x:f>J34*'Assumptions'!$B$5+K34*'Assumptions'!$B$6+L34*'Assumptions'!$B$7+M34*'Assumptions'!$B$8+IF('Assumptions'!$B$11=1,IF(D34="API",'Assumptions'!$B$10,0),0)</x:f>
        <x:v>3.2175000000000002</x:v>
      </x:c>
      <x:c r="P34" s="10" t="str">
        <x:v>Mode: Thinking; Same token rates as base model in Cursor metadata; Requires Max Mode on request-based plans; Up to 1M tokens in Max Mode at the same per-token rates (no long-context surcharge)</x:v>
      </x:c>
      <x:c r="Q34" s="22" t="str">
        <x:v>https://www.anthropic.com/claude/sonnet</x:v>
      </x:c>
    </x:row>
    <x:row r="35">
      <x:c r="A35" s="21" t="n">
        <x:v>30</x:v>
      </x:c>
      <x:c r="B35" s="17" t="str">
        <x:v>Claude 4.5 Sonnet</x:v>
      </x:c>
      <x:c r="C35" s="17" t="str">
        <x:v>Anthropic</x:v>
      </x:c>
      <x:c r="D35" s="17" t="str">
        <x:v>API</x:v>
      </x:c>
      <x:c r="E35" s="17" t="str">
        <x:v>Hidden in docs metadata</x:v>
      </x:c>
      <x:c r="F35" s="17" t="str">
        <x:v>claude-4-5-sonnet</x:v>
      </x:c>
      <x:c r="G35" s="17" t="str">
        <x:v>Default / thinking-capable</x:v>
      </x:c>
      <x:c r="H35" s="17" t="str">
        <x:v>200k</x:v>
      </x:c>
      <x:c r="I35" s="17" t="str">
        <x:v>1M</x:v>
      </x:c>
      <x:c r="J35" s="8" t="n">
        <x:v>3</x:v>
      </x:c>
      <x:c r="K35" s="8" t="n">
        <x:v>3.75</x:v>
      </x:c>
      <x:c r="L35" s="8" t="n">
        <x:v>0.3</x:v>
      </x:c>
      <x:c r="M35" s="8" t="n">
        <x:v>15</x:v>
      </x:c>
      <x:c r="N35" s="8" t="n">
        <x:f>SUM(J35:M35)</x:f>
        <x:v>22.05</x:v>
      </x:c>
      <x:c r="O35" s="8" t="n">
        <x:f>J35*'Assumptions'!$B$5+K35*'Assumptions'!$B$6+L35*'Assumptions'!$B$7+M35*'Assumptions'!$B$8+IF('Assumptions'!$B$11=1,IF(D35="API",'Assumptions'!$B$10,0),0)</x:f>
        <x:v>3.2175000000000002</x:v>
      </x:c>
      <x:c r="P35" s="10" t="str">
        <x:v>Requires Max Mode on request-based plans; Up to 1M tokens in Max Mode at the same per-token rates (no long-context surcharge)</x:v>
      </x:c>
      <x:c r="Q35" s="22" t="str">
        <x:v>https://www.anthropic.com/claude/sonnet</x:v>
      </x:c>
    </x:row>
    <x:row r="36">
      <x:c r="A36" s="21" t="n">
        <x:v>31</x:v>
      </x:c>
      <x:c r="B36" s="17" t="str">
        <x:v>Claude 4.5 Sonnet (Thinking)</x:v>
      </x:c>
      <x:c r="C36" s="17" t="str">
        <x:v>Anthropic</x:v>
      </x:c>
      <x:c r="D36" s="17" t="str">
        <x:v>API</x:v>
      </x:c>
      <x:c r="E36" s="17" t="str">
        <x:v>Hidden in docs metadata</x:v>
      </x:c>
      <x:c r="F36" s="17" t="str">
        <x:v>claude-4-5-sonnet-thinking</x:v>
      </x:c>
      <x:c r="G36" s="17" t="str">
        <x:v>Thinking</x:v>
      </x:c>
      <x:c r="H36" s="17" t="str">
        <x:v>200k</x:v>
      </x:c>
      <x:c r="I36" s="17" t="str">
        <x:v>1M</x:v>
      </x:c>
      <x:c r="J36" s="8" t="n">
        <x:v>3</x:v>
      </x:c>
      <x:c r="K36" s="8" t="n">
        <x:v>3.75</x:v>
      </x:c>
      <x:c r="L36" s="8" t="n">
        <x:v>0.3</x:v>
      </x:c>
      <x:c r="M36" s="8" t="n">
        <x:v>15</x:v>
      </x:c>
      <x:c r="N36" s="8" t="n">
        <x:f>SUM(J36:M36)</x:f>
        <x:v>22.05</x:v>
      </x:c>
      <x:c r="O36" s="8" t="n">
        <x:f>J36*'Assumptions'!$B$5+K36*'Assumptions'!$B$6+L36*'Assumptions'!$B$7+M36*'Assumptions'!$B$8+IF('Assumptions'!$B$11=1,IF(D36="API",'Assumptions'!$B$10,0),0)</x:f>
        <x:v>3.2175000000000002</x:v>
      </x:c>
      <x:c r="P36" s="10" t="str">
        <x:v>Mode: Thinking; Same token rates as base model in Cursor metadata; Requires Max Mode on request-based plans; Up to 1M tokens in Max Mode at the same per-token rates (no long-context surcharge)</x:v>
      </x:c>
      <x:c r="Q36" s="22" t="str">
        <x:v>https://www.anthropic.com/claude/sonnet</x:v>
      </x:c>
    </x:row>
    <x:row r="37">
      <x:c r="A37" s="21" t="n">
        <x:v>32</x:v>
      </x:c>
      <x:c r="B37" s="17" t="str">
        <x:v>Composer 2.5 (Fast)</x:v>
      </x:c>
      <x:c r="C37" s="17" t="str">
        <x:v>Cursor</x:v>
      </x:c>
      <x:c r="D37" s="17" t="str">
        <x:v>Auto + Composer</x:v>
      </x:c>
      <x:c r="E37" s="17" t="str">
        <x:v>Visible in current docs</x:v>
      </x:c>
      <x:c r="F37" s="17" t="str">
        <x:v>composer-2.5-fast</x:v>
      </x:c>
      <x:c r="G37" s="17" t="str">
        <x:v>Fast</x:v>
      </x:c>
      <x:c r="H37" s="17" t="str">
        <x:v>200k</x:v>
      </x:c>
      <x:c r="I37" s="17" t="str">
        <x:v>-</x:v>
      </x:c>
      <x:c r="J37" s="8" t="n">
        <x:v>3</x:v>
      </x:c>
      <x:c r="K37" s="8"/>
      <x:c r="L37" s="8" t="n">
        <x:v>0.5</x:v>
      </x:c>
      <x:c r="M37" s="8" t="n">
        <x:v>15</x:v>
      </x:c>
      <x:c r="N37" s="8" t="n">
        <x:f>SUM(J37:M37)</x:f>
        <x:v>18.5</x:v>
      </x:c>
      <x:c r="O37" s="8" t="n">
        <x:f>J37*'Assumptions'!$B$5+K37*'Assumptions'!$B$6+L37*'Assumptions'!$B$7+M37*'Assumptions'!$B$8+IF('Assumptions'!$B$11=1,IF(D37="API",'Assumptions'!$B$10,0),0)</x:f>
        <x:v>3.1500000000000004</x:v>
      </x:c>
      <x:c r="P37" s="10" t="str">
        <x:v>Mode: Fast</x:v>
      </x:c>
      <x:c r="Q37" s="22" t="str">
        <x:v>https://cursor.com/blog/composer-2-5</x:v>
      </x:c>
    </x:row>
    <x:row r="38">
      <x:c r="A38" s="21" t="n">
        <x:v>33</x:v>
      </x:c>
      <x:c r="B38" s="17" t="str">
        <x:v>GPT-5.4</x:v>
      </x:c>
      <x:c r="C38" s="17" t="str">
        <x:v>OpenAI</x:v>
      </x:c>
      <x:c r="D38" s="17" t="str">
        <x:v>API</x:v>
      </x:c>
      <x:c r="E38" s="17" t="str">
        <x:v>Hidden in docs metadata</x:v>
      </x:c>
      <x:c r="F38" s="17" t="str">
        <x:v>gpt-5.4</x:v>
      </x:c>
      <x:c r="G38" s="17" t="str">
        <x:v>Default / thinking-capable</x:v>
      </x:c>
      <x:c r="H38" s="17" t="str">
        <x:v>272k</x:v>
      </x:c>
      <x:c r="I38" s="17" t="str">
        <x:v>1M</x:v>
      </x:c>
      <x:c r="J38" s="8" t="n">
        <x:v>2.5</x:v>
      </x:c>
      <x:c r="K38" s="8"/>
      <x:c r="L38" s="8" t="n">
        <x:v>0.25</x:v>
      </x:c>
      <x:c r="M38" s="8" t="n">
        <x:v>15</x:v>
      </x:c>
      <x:c r="N38" s="8" t="n">
        <x:f>SUM(J38:M38)</x:f>
        <x:v>17.75</x:v>
      </x:c>
      <x:c r="O38" s="8" t="n">
        <x:f>J38*'Assumptions'!$B$5+K38*'Assumptions'!$B$6+L38*'Assumptions'!$B$7+M38*'Assumptions'!$B$8+IF('Assumptions'!$B$11=1,IF(D38="API",'Assumptions'!$B$10,0),0)</x:f>
        <x:v>2.9</x:v>
      </x:c>
      <x:c r="P38" s="10" t="str">
        <x:v>Requires Max Mode on request-based plans; Agentic and reasoning capabilities; 90% discount on cached input tokens; Fast mode is 15% faster with 2x pricing; Long context (Max Mode) supports up to 1M tokens with 2x input pricing</x:v>
      </x:c>
      <x:c r="Q38" s="22" t="str">
        <x:v>https://platform.openai.com/docs/models/gpt-5</x:v>
      </x:c>
    </x:row>
    <x:row r="39">
      <x:c r="A39" s="21" t="n">
        <x:v>34</x:v>
      </x:c>
      <x:c r="B39" s="17" t="str">
        <x:v>Grok 4.20 (Long Context (&gt;200k))</x:v>
      </x:c>
      <x:c r="C39" s="17" t="str">
        <x:v>xAI</x:v>
      </x:c>
      <x:c r="D39" s="17" t="str">
        <x:v>API</x:v>
      </x:c>
      <x:c r="E39" s="17" t="str">
        <x:v>Hidden in docs metadata</x:v>
      </x:c>
      <x:c r="F39" s="17" t="str">
        <x:v>grok-4-20-long</x:v>
      </x:c>
      <x:c r="G39" s="17" t="str">
        <x:v>Long Context (&gt;200k)</x:v>
      </x:c>
      <x:c r="H39" s="17" t="str">
        <x:v>200k</x:v>
      </x:c>
      <x:c r="I39" s="17" t="str">
        <x:v>2M</x:v>
      </x:c>
      <x:c r="J39" s="8" t="n">
        <x:v>4</x:v>
      </x:c>
      <x:c r="K39" s="8"/>
      <x:c r="L39" s="8" t="n">
        <x:v>0.4</x:v>
      </x:c>
      <x:c r="M39" s="8" t="n">
        <x:v>12</x:v>
      </x:c>
      <x:c r="N39" s="8" t="n">
        <x:f>SUM(J39:M39)</x:f>
        <x:v>16.4</x:v>
      </x:c>
      <x:c r="O39" s="8" t="n">
        <x:f>J39*'Assumptions'!$B$5+K39*'Assumptions'!$B$6+L39*'Assumptions'!$B$7+M39*'Assumptions'!$B$8+IF('Assumptions'!$B$11=1,IF(D39="API",'Assumptions'!$B$10,0),0)</x:f>
        <x:v>2.84</x:v>
      </x:c>
      <x:c r="P39" s="10" t="str">
        <x:v>Mode: Long Context (&gt;200k); The cost is 2x when the input exceeds 200k tokens</x:v>
      </x:c>
      <x:c r="Q39" s="22" t="str">
        <x:v>https://docs.x.ai/docs/models#models-and-pricing</x:v>
      </x:c>
    </x:row>
    <x:row r="40">
      <x:c r="A40" s="21" t="n">
        <x:v>35</x:v>
      </x:c>
      <x:c r="B40" s="17" t="str">
        <x:v>GPT-5.2</x:v>
      </x:c>
      <x:c r="C40" s="17" t="str">
        <x:v>OpenAI</x:v>
      </x:c>
      <x:c r="D40" s="17" t="str">
        <x:v>API</x:v>
      </x:c>
      <x:c r="E40" s="17" t="str">
        <x:v>Hidden in docs metadata</x:v>
      </x:c>
      <x:c r="F40" s="17" t="str">
        <x:v>gpt-5.2</x:v>
      </x:c>
      <x:c r="G40" s="17" t="str">
        <x:v>Default / thinking-capable</x:v>
      </x:c>
      <x:c r="H40" s="17" t="str">
        <x:v>272k</x:v>
      </x:c>
      <x:c r="I40" s="17" t="str">
        <x:v>-</x:v>
      </x:c>
      <x:c r="J40" s="8" t="n">
        <x:v>1.75</x:v>
      </x:c>
      <x:c r="K40" s="8"/>
      <x:c r="L40" s="8" t="n">
        <x:v>0.175</x:v>
      </x:c>
      <x:c r="M40" s="8" t="n">
        <x:v>14</x:v>
      </x:c>
      <x:c r="N40" s="8" t="n">
        <x:f>SUM(J40:M40)</x:f>
        <x:v>15.925</x:v>
      </x:c>
      <x:c r="O40" s="8" t="n">
        <x:f>J40*'Assumptions'!$B$5+K40*'Assumptions'!$B$6+L40*'Assumptions'!$B$7+M40*'Assumptions'!$B$8+IF('Assumptions'!$B$11=1,IF(D40="API",'Assumptions'!$B$10,0),0)</x:f>
        <x:v>2.555</x:v>
      </x:c>
      <x:c r="P40" s="10" t="str">
        <x:v>Agentic and reasoning capabilities; Available reasoning effort variant is gpt-5.2-high</x:v>
      </x:c>
      <x:c r="Q40" s="22" t="str">
        <x:v>https://platform.openai.com/docs/models/gpt-5</x:v>
      </x:c>
    </x:row>
    <x:row r="41">
      <x:c r="A41" s="21" t="n">
        <x:v>36</x:v>
      </x:c>
      <x:c r="B41" s="17" t="str">
        <x:v>GPT-5.2 Codex</x:v>
      </x:c>
      <x:c r="C41" s="17" t="str">
        <x:v>OpenAI</x:v>
      </x:c>
      <x:c r="D41" s="17" t="str">
        <x:v>API</x:v>
      </x:c>
      <x:c r="E41" s="17" t="str">
        <x:v>Hidden in docs metadata</x:v>
      </x:c>
      <x:c r="F41" s="17" t="str">
        <x:v>gpt-5.2-codex</x:v>
      </x:c>
      <x:c r="G41" s="17" t="str">
        <x:v>Default / thinking-capable</x:v>
      </x:c>
      <x:c r="H41" s="17" t="str">
        <x:v>272k</x:v>
      </x:c>
      <x:c r="I41" s="17" t="str">
        <x:v>-</x:v>
      </x:c>
      <x:c r="J41" s="8" t="n">
        <x:v>1.75</x:v>
      </x:c>
      <x:c r="K41" s="8"/>
      <x:c r="L41" s="8" t="n">
        <x:v>0.175</x:v>
      </x:c>
      <x:c r="M41" s="8" t="n">
        <x:v>14</x:v>
      </x:c>
      <x:c r="N41" s="8" t="n">
        <x:f>SUM(J41:M41)</x:f>
        <x:v>15.925</x:v>
      </x:c>
      <x:c r="O41" s="8" t="n">
        <x:f>J41*'Assumptions'!$B$5+K41*'Assumptions'!$B$6+L41*'Assumptions'!$B$7+M41*'Assumptions'!$B$8+IF('Assumptions'!$B$11=1,IF(D41="API",'Assumptions'!$B$10,0),0)</x:f>
        <x:v>2.555</x:v>
      </x:c>
      <x:c r="P41" s="10" t="str">
        <x:v>Agentic and reasoning capabilities</x:v>
      </x:c>
      <x:c r="Q41" s="22" t="str">
        <x:v>https://platform.openai.com/docs/models/gpt-5-codex</x:v>
      </x:c>
    </x:row>
    <x:row r="42">
      <x:c r="A42" s="21" t="n">
        <x:v>37</x:v>
      </x:c>
      <x:c r="B42" s="17" t="str">
        <x:v>GPT-5.3 Codex</x:v>
      </x:c>
      <x:c r="C42" s="17" t="str">
        <x:v>OpenAI</x:v>
      </x:c>
      <x:c r="D42" s="17" t="str">
        <x:v>API</x:v>
      </x:c>
      <x:c r="E42" s="17" t="str">
        <x:v>Visible in current docs</x:v>
      </x:c>
      <x:c r="F42" s="17" t="str">
        <x:v>gpt-5.3-codex</x:v>
      </x:c>
      <x:c r="G42" s="17" t="str">
        <x:v>Default / thinking-capable</x:v>
      </x:c>
      <x:c r="H42" s="17" t="str">
        <x:v>272k</x:v>
      </x:c>
      <x:c r="I42" s="17" t="str">
        <x:v>-</x:v>
      </x:c>
      <x:c r="J42" s="8" t="n">
        <x:v>1.75</x:v>
      </x:c>
      <x:c r="K42" s="8"/>
      <x:c r="L42" s="8" t="n">
        <x:v>0.175</x:v>
      </x:c>
      <x:c r="M42" s="8" t="n">
        <x:v>14</x:v>
      </x:c>
      <x:c r="N42" s="8" t="n">
        <x:f>SUM(J42:M42)</x:f>
        <x:v>15.925</x:v>
      </x:c>
      <x:c r="O42" s="8" t="n">
        <x:f>J42*'Assumptions'!$B$5+K42*'Assumptions'!$B$6+L42*'Assumptions'!$B$7+M42*'Assumptions'!$B$8+IF('Assumptions'!$B$11=1,IF(D42="API",'Assumptions'!$B$10,0),0)</x:f>
        <x:v>2.555</x:v>
      </x:c>
      <x:c r="P42" s="10" t="str">
        <x:v>Requires Max Mode on request-based plans; Agentic and reasoning capabilities; Available reasoning effort variant is gpt-5.3-codex-high</x:v>
      </x:c>
      <x:c r="Q42" s="22" t="str">
        <x:v>https://platform.openai.com/docs/models/gpt-5-codex</x:v>
      </x:c>
    </x:row>
    <x:row r="43">
      <x:c r="A43" s="21" t="n">
        <x:v>38</x:v>
      </x:c>
      <x:c r="B43" s="17" t="str">
        <x:v>Gemini 3.1 Pro</x:v>
      </x:c>
      <x:c r="C43" s="17" t="str">
        <x:v>Google</x:v>
      </x:c>
      <x:c r="D43" s="17" t="str">
        <x:v>API</x:v>
      </x:c>
      <x:c r="E43" s="17" t="str">
        <x:v>Visible in current docs</x:v>
      </x:c>
      <x:c r="F43" s="17" t="str">
        <x:v>gemini-3.1-pro</x:v>
      </x:c>
      <x:c r="G43" s="17" t="str">
        <x:v>Default / thinking-capable</x:v>
      </x:c>
      <x:c r="H43" s="17" t="str">
        <x:v>200k</x:v>
      </x:c>
      <x:c r="I43" s="17" t="str">
        <x:v>1M</x:v>
      </x:c>
      <x:c r="J43" s="8" t="n">
        <x:v>2</x:v>
      </x:c>
      <x:c r="K43" s="8"/>
      <x:c r="L43" s="8" t="n">
        <x:v>0.2</x:v>
      </x:c>
      <x:c r="M43" s="8" t="n">
        <x:v>12</x:v>
      </x:c>
      <x:c r="N43" s="8" t="n">
        <x:f>SUM(J43:M43)</x:f>
        <x:v>14.2</x:v>
      </x:c>
      <x:c r="O43" s="8" t="n">
        <x:f>J43*'Assumptions'!$B$5+K43*'Assumptions'!$B$6+L43*'Assumptions'!$B$7+M43*'Assumptions'!$B$8+IF('Assumptions'!$B$11=1,IF(D43="API",'Assumptions'!$B$10,0),0)</x:f>
        <x:v>2.32</x:v>
      </x:c>
      <x:c r="P43" s="10" t="str"/>
      <x:c r="Q43" s="22" t="str">
        <x:v>https://ai.google.dev/gemini-api/docs/pricing</x:v>
      </x:c>
    </x:row>
    <x:row r="44">
      <x:c r="A44" s="21" t="n">
        <x:v>39</x:v>
      </x:c>
      <x:c r="B44" s="17" t="str">
        <x:v>Gemini 3 Pro</x:v>
      </x:c>
      <x:c r="C44" s="17" t="str">
        <x:v>Google</x:v>
      </x:c>
      <x:c r="D44" s="17" t="str">
        <x:v>API</x:v>
      </x:c>
      <x:c r="E44" s="17" t="str">
        <x:v>Hidden in docs metadata</x:v>
      </x:c>
      <x:c r="F44" s="17" t="str">
        <x:v>gemini-3-pro</x:v>
      </x:c>
      <x:c r="G44" s="17" t="str">
        <x:v>Default / thinking-capable</x:v>
      </x:c>
      <x:c r="H44" s="17" t="str">
        <x:v>200k</x:v>
      </x:c>
      <x:c r="I44" s="17" t="str">
        <x:v>1M</x:v>
      </x:c>
      <x:c r="J44" s="8" t="n">
        <x:v>2</x:v>
      </x:c>
      <x:c r="K44" s="8"/>
      <x:c r="L44" s="8" t="n">
        <x:v>0.2</x:v>
      </x:c>
      <x:c r="M44" s="8" t="n">
        <x:v>12</x:v>
      </x:c>
      <x:c r="N44" s="8" t="n">
        <x:f>SUM(J44:M44)</x:f>
        <x:v>14.2</x:v>
      </x:c>
      <x:c r="O44" s="8" t="n">
        <x:f>J44*'Assumptions'!$B$5+K44*'Assumptions'!$B$6+L44*'Assumptions'!$B$7+M44*'Assumptions'!$B$8+IF('Assumptions'!$B$11=1,IF(D44="API",'Assumptions'!$B$10,0),0)</x:f>
        <x:v>2.32</x:v>
      </x:c>
      <x:c r="P44" s="10" t="str"/>
      <x:c r="Q44" s="22" t="str">
        <x:v>https://ai.google.dev/gemini-api/docs/pricing</x:v>
      </x:c>
    </x:row>
    <x:row r="45">
      <x:c r="A45" s="21" t="n">
        <x:v>40</x:v>
      </x:c>
      <x:c r="B45" s="17" t="str">
        <x:v>Gemini 3 Pro Image Preview</x:v>
      </x:c>
      <x:c r="C45" s="17" t="str">
        <x:v>Google</x:v>
      </x:c>
      <x:c r="D45" s="17" t="str">
        <x:v>API</x:v>
      </x:c>
      <x:c r="E45" s="17" t="str">
        <x:v>Hidden in docs metadata</x:v>
      </x:c>
      <x:c r="F45" s="17" t="str">
        <x:v>gemini-3-pro-image-preview</x:v>
      </x:c>
      <x:c r="G45" s="17" t="str">
        <x:v>Default</x:v>
      </x:c>
      <x:c r="H45" s="17" t="str">
        <x:v>200k</x:v>
      </x:c>
      <x:c r="I45" s="17" t="str">
        <x:v>1M</x:v>
      </x:c>
      <x:c r="J45" s="8" t="n">
        <x:v>2</x:v>
      </x:c>
      <x:c r="K45" s="8"/>
      <x:c r="L45" s="8" t="n">
        <x:v>0.2</x:v>
      </x:c>
      <x:c r="M45" s="8" t="n">
        <x:v>12</x:v>
      </x:c>
      <x:c r="N45" s="8" t="n">
        <x:f>SUM(J45:M45)</x:f>
        <x:v>14.2</x:v>
      </x:c>
      <x:c r="O45" s="8" t="n">
        <x:f>J45*'Assumptions'!$B$5+K45*'Assumptions'!$B$6+L45*'Assumptions'!$B$7+M45*'Assumptions'!$B$8+IF('Assumptions'!$B$11=1,IF(D45="API",'Assumptions'!$B$10,0),0)</x:f>
        <x:v>2.32</x:v>
      </x:c>
      <x:c r="P45" s="10" t="str">
        <x:v>Native image generation model optimized for speed, flexibility, and contextual understanding; Text input and output priced the same as Gemini 3 Pro; Image output: $120/1M tokens (~$0.134 per 1K/2K image, ~$0.24 per 4K image); Preview models may change before becoming stable and have more restrictive rate limits</x:v>
      </x:c>
      <x:c r="Q45" s="22" t="str">
        <x:v>https://ai.google.dev/gemini-api/docs/pricing</x:v>
      </x:c>
    </x:row>
    <x:row r="46">
      <x:c r="A46" s="21" t="n">
        <x:v>41</x:v>
      </x:c>
      <x:c r="B46" s="17" t="str">
        <x:v>GPT-5</x:v>
      </x:c>
      <x:c r="C46" s="17" t="str">
        <x:v>OpenAI</x:v>
      </x:c>
      <x:c r="D46" s="17" t="str">
        <x:v>API</x:v>
      </x:c>
      <x:c r="E46" s="17" t="str">
        <x:v>Hidden in docs metadata</x:v>
      </x:c>
      <x:c r="F46" s="17" t="str">
        <x:v>gpt-5.1</x:v>
      </x:c>
      <x:c r="G46" s="17" t="str">
        <x:v>Default / thinking-capable</x:v>
      </x:c>
      <x:c r="H46" s="17" t="str">
        <x:v>272k</x:v>
      </x:c>
      <x:c r="I46" s="17" t="str">
        <x:v>-</x:v>
      </x:c>
      <x:c r="J46" s="8" t="n">
        <x:v>1.25</x:v>
      </x:c>
      <x:c r="K46" s="8"/>
      <x:c r="L46" s="8" t="n">
        <x:v>0.125</x:v>
      </x:c>
      <x:c r="M46" s="8" t="n">
        <x:v>10</x:v>
      </x:c>
      <x:c r="N46" s="8" t="n">
        <x:f>SUM(J46:M46)</x:f>
        <x:v>11.375</x:v>
      </x:c>
      <x:c r="O46" s="8" t="n">
        <x:f>J46*'Assumptions'!$B$5+K46*'Assumptions'!$B$6+L46*'Assumptions'!$B$7+M46*'Assumptions'!$B$8+IF('Assumptions'!$B$11=1,IF(D46="API",'Assumptions'!$B$10,0),0)</x:f>
        <x:v>1.825</x:v>
      </x:c>
      <x:c r="P46" s="10" t="str">
        <x:v>Agentic and reasoning capabilities; Available reasoning effort variant is gpt-5-high</x:v>
      </x:c>
      <x:c r="Q46" s="22" t="str">
        <x:v>https://platform.openai.com/docs/models/gpt-5</x:v>
      </x:c>
    </x:row>
    <x:row r="47">
      <x:c r="A47" s="21" t="n">
        <x:v>42</x:v>
      </x:c>
      <x:c r="B47" s="17" t="str">
        <x:v>GPT-5-Codex</x:v>
      </x:c>
      <x:c r="C47" s="17" t="str">
        <x:v>OpenAI</x:v>
      </x:c>
      <x:c r="D47" s="17" t="str">
        <x:v>API</x:v>
      </x:c>
      <x:c r="E47" s="17" t="str">
        <x:v>Hidden in docs metadata</x:v>
      </x:c>
      <x:c r="F47" s="17" t="str">
        <x:v>gpt-5-codex</x:v>
      </x:c>
      <x:c r="G47" s="17" t="str">
        <x:v>Default / thinking-capable</x:v>
      </x:c>
      <x:c r="H47" s="17" t="str">
        <x:v>272k</x:v>
      </x:c>
      <x:c r="I47" s="17" t="str">
        <x:v>-</x:v>
      </x:c>
      <x:c r="J47" s="8" t="n">
        <x:v>1.25</x:v>
      </x:c>
      <x:c r="K47" s="8"/>
      <x:c r="L47" s="8" t="n">
        <x:v>0.125</x:v>
      </x:c>
      <x:c r="M47" s="8" t="n">
        <x:v>10</x:v>
      </x:c>
      <x:c r="N47" s="8" t="n">
        <x:f>SUM(J47:M47)</x:f>
        <x:v>11.375</x:v>
      </x:c>
      <x:c r="O47" s="8" t="n">
        <x:f>J47*'Assumptions'!$B$5+K47*'Assumptions'!$B$6+L47*'Assumptions'!$B$7+M47*'Assumptions'!$B$8+IF('Assumptions'!$B$11=1,IF(D47="API",'Assumptions'!$B$10,0),0)</x:f>
        <x:v>1.825</x:v>
      </x:c>
      <x:c r="P47" s="10" t="str">
        <x:v>Agentic and reasoning capabilities</x:v>
      </x:c>
      <x:c r="Q47" s="22" t="str">
        <x:v>https://platform.openai.com/docs/models/gpt-5-codex</x:v>
      </x:c>
    </x:row>
    <x:row r="48">
      <x:c r="A48" s="21" t="n">
        <x:v>43</x:v>
      </x:c>
      <x:c r="B48" s="17" t="str">
        <x:v>GPT-5.1 Codex</x:v>
      </x:c>
      <x:c r="C48" s="17" t="str">
        <x:v>OpenAI</x:v>
      </x:c>
      <x:c r="D48" s="17" t="str">
        <x:v>API</x:v>
      </x:c>
      <x:c r="E48" s="17" t="str">
        <x:v>Hidden in docs metadata</x:v>
      </x:c>
      <x:c r="F48" s="17" t="str">
        <x:v>gpt-5.1-codex</x:v>
      </x:c>
      <x:c r="G48" s="17" t="str">
        <x:v>Default / thinking-capable</x:v>
      </x:c>
      <x:c r="H48" s="17" t="str">
        <x:v>272k</x:v>
      </x:c>
      <x:c r="I48" s="17" t="str">
        <x:v>-</x:v>
      </x:c>
      <x:c r="J48" s="8" t="n">
        <x:v>1.25</x:v>
      </x:c>
      <x:c r="K48" s="8"/>
      <x:c r="L48" s="8" t="n">
        <x:v>0.125</x:v>
      </x:c>
      <x:c r="M48" s="8" t="n">
        <x:v>10</x:v>
      </x:c>
      <x:c r="N48" s="8" t="n">
        <x:f>SUM(J48:M48)</x:f>
        <x:v>11.375</x:v>
      </x:c>
      <x:c r="O48" s="8" t="n">
        <x:f>J48*'Assumptions'!$B$5+K48*'Assumptions'!$B$6+L48*'Assumptions'!$B$7+M48*'Assumptions'!$B$8+IF('Assumptions'!$B$11=1,IF(D48="API",'Assumptions'!$B$10,0),0)</x:f>
        <x:v>1.825</x:v>
      </x:c>
      <x:c r="P48" s="10" t="str">
        <x:v>Agentic and reasoning capabilities</x:v>
      </x:c>
      <x:c r="Q48" s="22" t="str">
        <x:v>https://platform.openai.com/docs/models/gpt-5-codex</x:v>
      </x:c>
    </x:row>
    <x:row r="49">
      <x:c r="A49" s="21" t="n">
        <x:v>44</x:v>
      </x:c>
      <x:c r="B49" s="17" t="str">
        <x:v>GPT-5.1 Codex Max</x:v>
      </x:c>
      <x:c r="C49" s="17" t="str">
        <x:v>OpenAI</x:v>
      </x:c>
      <x:c r="D49" s="17" t="str">
        <x:v>API</x:v>
      </x:c>
      <x:c r="E49" s="17" t="str">
        <x:v>Hidden in docs metadata</x:v>
      </x:c>
      <x:c r="F49" s="17" t="str">
        <x:v>gpt-5.1-codex-max</x:v>
      </x:c>
      <x:c r="G49" s="17" t="str">
        <x:v>Default / thinking-capable</x:v>
      </x:c>
      <x:c r="H49" s="17" t="str">
        <x:v>272k</x:v>
      </x:c>
      <x:c r="I49" s="17" t="str">
        <x:v>-</x:v>
      </x:c>
      <x:c r="J49" s="8" t="n">
        <x:v>1.25</x:v>
      </x:c>
      <x:c r="K49" s="8"/>
      <x:c r="L49" s="8" t="n">
        <x:v>0.125</x:v>
      </x:c>
      <x:c r="M49" s="8" t="n">
        <x:v>10</x:v>
      </x:c>
      <x:c r="N49" s="8" t="n">
        <x:f>SUM(J49:M49)</x:f>
        <x:v>11.375</x:v>
      </x:c>
      <x:c r="O49" s="8" t="n">
        <x:f>J49*'Assumptions'!$B$5+K49*'Assumptions'!$B$6+L49*'Assumptions'!$B$7+M49*'Assumptions'!$B$8+IF('Assumptions'!$B$11=1,IF(D49="API",'Assumptions'!$B$10,0),0)</x:f>
        <x:v>1.825</x:v>
      </x:c>
      <x:c r="P49" s="10" t="str"/>
      <x:c r="Q49" s="22" t="str">
        <x:v>https://platform.openai.com/docs/models/gpt-5-codex</x:v>
      </x:c>
    </x:row>
    <x:row r="50">
      <x:c r="A50" s="21" t="n">
        <x:v>45</x:v>
      </x:c>
      <x:c r="B50" s="17" t="str">
        <x:v>Composer 1</x:v>
      </x:c>
      <x:c r="C50" s="17" t="str">
        <x:v>Cursor</x:v>
      </x:c>
      <x:c r="D50" s="17" t="str">
        <x:v>Auto + Composer</x:v>
      </x:c>
      <x:c r="E50" s="17" t="str">
        <x:v>Hidden in docs metadata</x:v>
      </x:c>
      <x:c r="F50" s="17" t="str">
        <x:v>composer-1</x:v>
      </x:c>
      <x:c r="G50" s="17" t="str">
        <x:v>Default</x:v>
      </x:c>
      <x:c r="H50" s="17" t="str">
        <x:v>200k</x:v>
      </x:c>
      <x:c r="I50" s="17" t="str">
        <x:v>-</x:v>
      </x:c>
      <x:c r="J50" s="8" t="n">
        <x:v>1.25</x:v>
      </x:c>
      <x:c r="K50" s="8"/>
      <x:c r="L50" s="8" t="n">
        <x:v>0.125</x:v>
      </x:c>
      <x:c r="M50" s="8" t="n">
        <x:v>10</x:v>
      </x:c>
      <x:c r="N50" s="8" t="n">
        <x:f>SUM(J50:M50)</x:f>
        <x:v>11.375</x:v>
      </x:c>
      <x:c r="O50" s="8" t="n">
        <x:f>J50*'Assumptions'!$B$5+K50*'Assumptions'!$B$6+L50*'Assumptions'!$B$7+M50*'Assumptions'!$B$8+IF('Assumptions'!$B$11=1,IF(D50="API",'Assumptions'!$B$10,0),0)</x:f>
        <x:v>1.825</x:v>
      </x:c>
      <x:c r="P50" s="10" t="str"/>
      <x:c r="Q50" s="22" t="str">
        <x:v>https://cursor.com</x:v>
      </x:c>
    </x:row>
    <x:row r="51">
      <x:c r="A51" s="21" t="n">
        <x:v>46</x:v>
      </x:c>
      <x:c r="B51" s="17" t="str">
        <x:v>Gemini 3.5 Flash</x:v>
      </x:c>
      <x:c r="C51" s="17" t="str">
        <x:v>Google</x:v>
      </x:c>
      <x:c r="D51" s="17" t="str">
        <x:v>API</x:v>
      </x:c>
      <x:c r="E51" s="17" t="str">
        <x:v>Visible in current docs</x:v>
      </x:c>
      <x:c r="F51" s="17" t="str">
        <x:v>gemini-3.5-flash</x:v>
      </x:c>
      <x:c r="G51" s="17" t="str">
        <x:v>Default / thinking-capable</x:v>
      </x:c>
      <x:c r="H51" s="17" t="str">
        <x:v>200k</x:v>
      </x:c>
      <x:c r="I51" s="17" t="str">
        <x:v>1M</x:v>
      </x:c>
      <x:c r="J51" s="8" t="n">
        <x:v>1.5</x:v>
      </x:c>
      <x:c r="K51" s="8"/>
      <x:c r="L51" s="8" t="n">
        <x:v>0.15</x:v>
      </x:c>
      <x:c r="M51" s="8" t="n">
        <x:v>9</x:v>
      </x:c>
      <x:c r="N51" s="8" t="n">
        <x:f>SUM(J51:M51)</x:f>
        <x:v>10.65</x:v>
      </x:c>
      <x:c r="O51" s="8" t="n">
        <x:f>J51*'Assumptions'!$B$5+K51*'Assumptions'!$B$6+L51*'Assumptions'!$B$7+M51*'Assumptions'!$B$8+IF('Assumptions'!$B$11=1,IF(D51="API",'Assumptions'!$B$10,0),0)</x:f>
        <x:v>1.7399999999999998</x:v>
      </x:c>
      <x:c r="P51" s="10" t="str"/>
      <x:c r="Q51" s="22" t="str">
        <x:v>https://ai.google.dev/gemini-api/docs/pricing</x:v>
      </x:c>
    </x:row>
    <x:row r="52">
      <x:c r="A52" s="21" t="n">
        <x:v>47</x:v>
      </x:c>
      <x:c r="B52" s="17" t="str">
        <x:v>Composer 2 (Fast)</x:v>
      </x:c>
      <x:c r="C52" s="17" t="str">
        <x:v>Cursor</x:v>
      </x:c>
      <x:c r="D52" s="17" t="str">
        <x:v>Auto + Composer</x:v>
      </x:c>
      <x:c r="E52" s="17" t="str">
        <x:v>Hidden in docs metadata</x:v>
      </x:c>
      <x:c r="F52" s="17" t="str">
        <x:v>composer-2-fast</x:v>
      </x:c>
      <x:c r="G52" s="17" t="str">
        <x:v>Fast</x:v>
      </x:c>
      <x:c r="H52" s="17" t="str">
        <x:v>200k</x:v>
      </x:c>
      <x:c r="I52" s="17" t="str">
        <x:v>-</x:v>
      </x:c>
      <x:c r="J52" s="8" t="n">
        <x:v>1.5</x:v>
      </x:c>
      <x:c r="K52" s="8"/>
      <x:c r="L52" s="8" t="n">
        <x:v>0.35</x:v>
      </x:c>
      <x:c r="M52" s="8" t="n">
        <x:v>7.5</x:v>
      </x:c>
      <x:c r="N52" s="8" t="n">
        <x:f>SUM(J52:M52)</x:f>
        <x:v>9.35</x:v>
      </x:c>
      <x:c r="O52" s="8" t="n">
        <x:f>J52*'Assumptions'!$B$5+K52*'Assumptions'!$B$6+L52*'Assumptions'!$B$7+M52*'Assumptions'!$B$8+IF('Assumptions'!$B$11=1,IF(D52="API",'Assumptions'!$B$10,0),0)</x:f>
        <x:v>1.635</x:v>
      </x:c>
      <x:c r="P52" s="10" t="str">
        <x:v>Mode: Fast</x:v>
      </x:c>
      <x:c r="Q52" s="22" t="str">
        <x:v>https://cursor.com/blog/composer-2</x:v>
      </x:c>
    </x:row>
    <x:row r="53">
      <x:c r="A53" s="21" t="n">
        <x:v>48</x:v>
      </x:c>
      <x:c r="B53" s="17" t="str">
        <x:v>Grok 4.20</x:v>
      </x:c>
      <x:c r="C53" s="17" t="str">
        <x:v>xAI</x:v>
      </x:c>
      <x:c r="D53" s="17" t="str">
        <x:v>API</x:v>
      </x:c>
      <x:c r="E53" s="17" t="str">
        <x:v>Hidden in docs metadata</x:v>
      </x:c>
      <x:c r="F53" s="17" t="str">
        <x:v>grok-4-20</x:v>
      </x:c>
      <x:c r="G53" s="17" t="str">
        <x:v>Default / thinking-capable</x:v>
      </x:c>
      <x:c r="H53" s="17" t="str">
        <x:v>200k</x:v>
      </x:c>
      <x:c r="I53" s="17" t="str">
        <x:v>2M</x:v>
      </x:c>
      <x:c r="J53" s="8" t="n">
        <x:v>2</x:v>
      </x:c>
      <x:c r="K53" s="8"/>
      <x:c r="L53" s="8" t="n">
        <x:v>0.2</x:v>
      </x:c>
      <x:c r="M53" s="8" t="n">
        <x:v>6</x:v>
      </x:c>
      <x:c r="N53" s="8" t="n">
        <x:f>SUM(J53:M53)</x:f>
        <x:v>8.2</x:v>
      </x:c>
      <x:c r="O53" s="8" t="n">
        <x:f>J53*'Assumptions'!$B$5+K53*'Assumptions'!$B$6+L53*'Assumptions'!$B$7+M53*'Assumptions'!$B$8+IF('Assumptions'!$B$11=1,IF(D53="API",'Assumptions'!$B$10,0),0)</x:f>
        <x:v>1.42</x:v>
      </x:c>
      <x:c r="P53" s="10" t="str">
        <x:v>The cost is 2x when the input exceeds 200k tokens</x:v>
      </x:c>
      <x:c r="Q53" s="22" t="str">
        <x:v>https://docs.x.ai/docs/models#models-and-pricing</x:v>
      </x:c>
    </x:row>
    <x:row r="54">
      <x:c r="A54" s="21" t="n">
        <x:v>49</x:v>
      </x:c>
      <x:c r="B54" s="17" t="str">
        <x:v>Auto</x:v>
      </x:c>
      <x:c r="C54" s="17" t="str">
        <x:v>Cursor</x:v>
      </x:c>
      <x:c r="D54" s="17" t="str">
        <x:v>Auto + Composer</x:v>
      </x:c>
      <x:c r="E54" s="17" t="str">
        <x:v>Auto route</x:v>
      </x:c>
      <x:c r="F54" s="17" t="str">
        <x:v>auto</x:v>
      </x:c>
      <x:c r="G54" s="17" t="str">
        <x:v>Auto-selected</x:v>
      </x:c>
      <x:c r="H54" s="17" t="str"/>
      <x:c r="I54" s="17" t="str"/>
      <x:c r="J54" s="8" t="n">
        <x:v>1.25</x:v>
      </x:c>
      <x:c r="K54" s="8"/>
      <x:c r="L54" s="8" t="n">
        <x:v>0.25</x:v>
      </x:c>
      <x:c r="M54" s="8" t="n">
        <x:v>6</x:v>
      </x:c>
      <x:c r="N54" s="8" t="n">
        <x:f>SUM(J54:M54)</x:f>
        <x:v>7.5</x:v>
      </x:c>
      <x:c r="O54" s="8" t="n">
        <x:f>J54*'Assumptions'!$B$5+K54*'Assumptions'!$B$6+L54*'Assumptions'!$B$7+M54*'Assumptions'!$B$8+IF('Assumptions'!$B$11=1,IF(D54="API",'Assumptions'!$B$10,0),0)</x:f>
        <x:v>1.2999999999999998</x:v>
      </x:c>
      <x:c r="P54" s="10" t="str">
        <x:v>Cursor Auto pricing; Auto and Composer draw from the Auto + Composer pool</x:v>
      </x:c>
      <x:c r="Q54" s="22" t="str">
        <x:v>https://cursor.com/docs/models-and-pricing</x:v>
      </x:c>
    </x:row>
    <x:row r="55">
      <x:c r="A55" s="21" t="n">
        <x:v>50</x:v>
      </x:c>
      <x:c r="B55" s="17" t="str">
        <x:v>Grok Build 0.1 (&gt;200k input)</x:v>
      </x:c>
      <x:c r="C55" s="17" t="str">
        <x:v>xAI</x:v>
      </x:c>
      <x:c r="D55" s="17" t="str">
        <x:v>API</x:v>
      </x:c>
      <x:c r="E55" s="17" t="str">
        <x:v>Visible in current docs</x:v>
      </x:c>
      <x:c r="F55" s="17" t="str">
        <x:v>grok-build-0-1-long</x:v>
      </x:c>
      <x:c r="G55" s="17" t="str">
        <x:v>&gt;200k input</x:v>
      </x:c>
      <x:c r="H55" s="17" t="str">
        <x:v>256k</x:v>
      </x:c>
      <x:c r="I55" s="17" t="str">
        <x:v>-</x:v>
      </x:c>
      <x:c r="J55" s="8" t="n">
        <x:v>2</x:v>
      </x:c>
      <x:c r="K55" s="8"/>
      <x:c r="L55" s="8" t="n">
        <x:v>0.4</x:v>
      </x:c>
      <x:c r="M55" s="8" t="n">
        <x:v>4</x:v>
      </x:c>
      <x:c r="N55" s="8" t="n">
        <x:f>SUM(J55:M55)</x:f>
        <x:v>6.4</x:v>
      </x:c>
      <x:c r="O55" s="8" t="n">
        <x:f>J55*'Assumptions'!$B$5+K55*'Assumptions'!$B$6+L55*'Assumptions'!$B$7+M55*'Assumptions'!$B$8+IF('Assumptions'!$B$11=1,IF(D55="API",'Assumptions'!$B$10,0),0)</x:f>
        <x:v>1.24</x:v>
      </x:c>
      <x:c r="P55" s="10" t="str">
        <x:v>Mode: &gt;200k input; The cost is 2x when the input exceeds 200k tokens; No user-configurable reasoning effort</x:v>
      </x:c>
      <x:c r="Q55" s="22" t="str">
        <x:v>https://docs.x.ai/developers/models/grok-build-0.1</x:v>
      </x:c>
    </x:row>
    <x:row r="56">
      <x:c r="A56" s="21" t="n">
        <x:v>51</x:v>
      </x:c>
      <x:c r="B56" s="17" t="str">
        <x:v>GLM 5.2</x:v>
      </x:c>
      <x:c r="C56" s="17" t="str">
        <x:v>Z.ai</x:v>
      </x:c>
      <x:c r="D56" s="17" t="str">
        <x:v>API</x:v>
      </x:c>
      <x:c r="E56" s="17" t="str">
        <x:v>Hidden in docs metadata</x:v>
      </x:c>
      <x:c r="F56" s="17" t="str">
        <x:v>glm-5.2</x:v>
      </x:c>
      <x:c r="G56" s="17" t="str">
        <x:v>Default / thinking-capable</x:v>
      </x:c>
      <x:c r="H56" s="17" t="str">
        <x:v>200k</x:v>
      </x:c>
      <x:c r="I56" s="17" t="str">
        <x:v>-</x:v>
      </x:c>
      <x:c r="J56" s="8" t="n">
        <x:v>1.4</x:v>
      </x:c>
      <x:c r="K56" s="8"/>
      <x:c r="L56" s="8" t="n">
        <x:v>0.26</x:v>
      </x:c>
      <x:c r="M56" s="8" t="n">
        <x:v>4.4</x:v>
      </x:c>
      <x:c r="N56" s="8" t="n">
        <x:f>SUM(J56:M56)</x:f>
        <x:v>6.0600000000000005</x:v>
      </x:c>
      <x:c r="O56" s="8" t="n">
        <x:f>J56*'Assumptions'!$B$5+K56*'Assumptions'!$B$6+L56*'Assumptions'!$B$7+M56*'Assumptions'!$B$8+IF('Assumptions'!$B$11=1,IF(D56="API",'Assumptions'!$B$10,0),0)</x:f>
        <x:v>1.096</x:v>
      </x:c>
      <x:c r="P56" s="10" t="str"/>
      <x:c r="Q56" s="22" t="str">
        <x:v>https://z.ai</x:v>
      </x:c>
    </x:row>
    <x:row r="57">
      <x:c r="A57" s="21" t="n">
        <x:v>52</x:v>
      </x:c>
      <x:c r="B57" s="17" t="str">
        <x:v>Claude 4.5 Haiku</x:v>
      </x:c>
      <x:c r="C57" s="17" t="str">
        <x:v>Anthropic</x:v>
      </x:c>
      <x:c r="D57" s="17" t="str">
        <x:v>API</x:v>
      </x:c>
      <x:c r="E57" s="17" t="str">
        <x:v>Hidden in docs metadata</x:v>
      </x:c>
      <x:c r="F57" s="17" t="str">
        <x:v>claude-4-5-haiku</x:v>
      </x:c>
      <x:c r="G57" s="17" t="str">
        <x:v>Default / thinking-capable</x:v>
      </x:c>
      <x:c r="H57" s="17" t="str">
        <x:v>200k</x:v>
      </x:c>
      <x:c r="I57" s="17" t="str">
        <x:v>-</x:v>
      </x:c>
      <x:c r="J57" s="8" t="n">
        <x:v>1</x:v>
      </x:c>
      <x:c r="K57" s="8" t="n">
        <x:v>1.25</x:v>
      </x:c>
      <x:c r="L57" s="8" t="n">
        <x:v>0.1</x:v>
      </x:c>
      <x:c r="M57" s="8" t="n">
        <x:v>5</x:v>
      </x:c>
      <x:c r="N57" s="8" t="n">
        <x:f>SUM(J57:M57)</x:f>
        <x:v>7.35</x:v>
      </x:c>
      <x:c r="O57" s="8" t="n">
        <x:f>J57*'Assumptions'!$B$5+K57*'Assumptions'!$B$6+L57*'Assumptions'!$B$7+M57*'Assumptions'!$B$8+IF('Assumptions'!$B$11=1,IF(D57="API",'Assumptions'!$B$10,0),0)</x:f>
        <x:v>1.0725</x:v>
      </x:c>
      <x:c r="P57" s="10" t="str">
        <x:v>Bedrock/Vertex: regional endpoints +10% surcharge; Cache: writes 1.25x, reads 0.1x</x:v>
      </x:c>
      <x:c r="Q57" s="22" t="str">
        <x:v>https://www.anthropic.com/claude/haiku</x:v>
      </x:c>
    </x:row>
    <x:row r="58">
      <x:c r="A58" s="21" t="n">
        <x:v>53</x:v>
      </x:c>
      <x:c r="B58" s="17" t="str">
        <x:v>GPT-5.4 Mini</x:v>
      </x:c>
      <x:c r="C58" s="17" t="str">
        <x:v>OpenAI</x:v>
      </x:c>
      <x:c r="D58" s="17" t="str">
        <x:v>API</x:v>
      </x:c>
      <x:c r="E58" s="17" t="str">
        <x:v>Hidden in docs metadata</x:v>
      </x:c>
      <x:c r="F58" s="17" t="str">
        <x:v>gpt-5.4-mini</x:v>
      </x:c>
      <x:c r="G58" s="17" t="str">
        <x:v>Default / thinking-capable</x:v>
      </x:c>
      <x:c r="H58" s="17" t="str">
        <x:v>272k</x:v>
      </x:c>
      <x:c r="I58" s="17" t="str">
        <x:v>-</x:v>
      </x:c>
      <x:c r="J58" s="8" t="n">
        <x:v>0.75</x:v>
      </x:c>
      <x:c r="K58" s="8"/>
      <x:c r="L58" s="8" t="n">
        <x:v>0.075</x:v>
      </x:c>
      <x:c r="M58" s="8" t="n">
        <x:v>4.5</x:v>
      </x:c>
      <x:c r="N58" s="8" t="n">
        <x:f>SUM(J58:M58)</x:f>
        <x:v>5.325</x:v>
      </x:c>
      <x:c r="O58" s="8" t="n">
        <x:f>J58*'Assumptions'!$B$5+K58*'Assumptions'!$B$6+L58*'Assumptions'!$B$7+M58*'Assumptions'!$B$8+IF('Assumptions'!$B$11=1,IF(D58="API",'Assumptions'!$B$10,0),0)</x:f>
        <x:v>0.8699999999999999</x:v>
      </x:c>
      <x:c r="P58" s="10" t="str">
        <x:v>Smaller, faster variant of GPT-5.4; 90% discount on cached input tokens</x:v>
      </x:c>
      <x:c r="Q58" s="22" t="str">
        <x:v>https://platform.openai.com/docs/models/gpt-5</x:v>
      </x:c>
    </x:row>
    <x:row r="59">
      <x:c r="A59" s="21" t="n">
        <x:v>54</x:v>
      </x:c>
      <x:c r="B59" s="17" t="str">
        <x:v>Grok 4.3</x:v>
      </x:c>
      <x:c r="C59" s="17" t="str">
        <x:v>xAI</x:v>
      </x:c>
      <x:c r="D59" s="17" t="str">
        <x:v>API</x:v>
      </x:c>
      <x:c r="E59" s="17" t="str">
        <x:v>Hidden in docs metadata</x:v>
      </x:c>
      <x:c r="F59" s="17" t="str">
        <x:v>grok-4-3</x:v>
      </x:c>
      <x:c r="G59" s="17" t="str">
        <x:v>Default / thinking-capable</x:v>
      </x:c>
      <x:c r="H59" s="17" t="str">
        <x:v>200k</x:v>
      </x:c>
      <x:c r="I59" s="17" t="str">
        <x:v>1M</x:v>
      </x:c>
      <x:c r="J59" s="8" t="n">
        <x:v>1.25</x:v>
      </x:c>
      <x:c r="K59" s="8"/>
      <x:c r="L59" s="8" t="n">
        <x:v>0.2</x:v>
      </x:c>
      <x:c r="M59" s="8" t="n">
        <x:v>2.5</x:v>
      </x:c>
      <x:c r="N59" s="8" t="n">
        <x:f>SUM(J59:M59)</x:f>
        <x:v>3.95</x:v>
      </x:c>
      <x:c r="O59" s="8" t="n">
        <x:f>J59*'Assumptions'!$B$5+K59*'Assumptions'!$B$6+L59*'Assumptions'!$B$7+M59*'Assumptions'!$B$8+IF('Assumptions'!$B$11=1,IF(D59="API",'Assumptions'!$B$10,0),0)</x:f>
        <x:v>0.745</x:v>
      </x:c>
      <x:c r="P59" s="10" t="str">
        <x:v>Requires Max Mode on request-based plans</x:v>
      </x:c>
      <x:c r="Q59" s="22" t="str">
        <x:v>https://docs.x.ai/docs/models#models-and-pricing</x:v>
      </x:c>
    </x:row>
    <x:row r="60">
      <x:c r="A60" s="21" t="n">
        <x:v>55</x:v>
      </x:c>
      <x:c r="B60" s="17" t="str">
        <x:v>Kimi K2.5</x:v>
      </x:c>
      <x:c r="C60" s="17" t="str">
        <x:v>Moonshot</x:v>
      </x:c>
      <x:c r="D60" s="17" t="str">
        <x:v>API</x:v>
      </x:c>
      <x:c r="E60" s="17" t="str">
        <x:v>Hidden in docs metadata</x:v>
      </x:c>
      <x:c r="F60" s="17" t="str">
        <x:v>kimi-k2.5</x:v>
      </x:c>
      <x:c r="G60" s="17" t="str">
        <x:v>Default / thinking-capable</x:v>
      </x:c>
      <x:c r="H60" s="17" t="str">
        <x:v>262k</x:v>
      </x:c>
      <x:c r="I60" s="17" t="str">
        <x:v>-</x:v>
      </x:c>
      <x:c r="J60" s="8" t="n">
        <x:v>0.6</x:v>
      </x:c>
      <x:c r="K60" s="8"/>
      <x:c r="L60" s="8" t="n">
        <x:v>0.1</x:v>
      </x:c>
      <x:c r="M60" s="8" t="n">
        <x:v>3</x:v>
      </x:c>
      <x:c r="N60" s="8" t="n">
        <x:f>SUM(J60:M60)</x:f>
        <x:v>3.7</x:v>
      </x:c>
      <x:c r="O60" s="8" t="n">
        <x:f>J60*'Assumptions'!$B$5+K60*'Assumptions'!$B$6+L60*'Assumptions'!$B$7+M60*'Assumptions'!$B$8+IF('Assumptions'!$B$11=1,IF(D60="API",'Assumptions'!$B$10,0),0)</x:f>
        <x:v>0.6299999999999999</x:v>
      </x:c>
      <x:c r="P60" s="10" t="str"/>
      <x:c r="Q60" s="22" t="str">
        <x:v>https://cursor.com/docs/models-and-pricing</x:v>
      </x:c>
    </x:row>
    <x:row r="61">
      <x:c r="A61" s="21" t="n">
        <x:v>56</x:v>
      </x:c>
      <x:c r="B61" s="17" t="str">
        <x:v>Grok Build 0.1</x:v>
      </x:c>
      <x:c r="C61" s="17" t="str">
        <x:v>xAI</x:v>
      </x:c>
      <x:c r="D61" s="17" t="str">
        <x:v>API</x:v>
      </x:c>
      <x:c r="E61" s="17" t="str">
        <x:v>Visible in current docs</x:v>
      </x:c>
      <x:c r="F61" s="17" t="str">
        <x:v>grok-build-0-1</x:v>
      </x:c>
      <x:c r="G61" s="17" t="str">
        <x:v>Default / thinking-capable</x:v>
      </x:c>
      <x:c r="H61" s="17" t="str">
        <x:v>256k</x:v>
      </x:c>
      <x:c r="I61" s="17" t="str">
        <x:v>-</x:v>
      </x:c>
      <x:c r="J61" s="8" t="n">
        <x:v>1</x:v>
      </x:c>
      <x:c r="K61" s="8"/>
      <x:c r="L61" s="8" t="n">
        <x:v>0.2</x:v>
      </x:c>
      <x:c r="M61" s="8" t="n">
        <x:v>2</x:v>
      </x:c>
      <x:c r="N61" s="8" t="n">
        <x:f>SUM(J61:M61)</x:f>
        <x:v>3.2</x:v>
      </x:c>
      <x:c r="O61" s="8" t="n">
        <x:f>J61*'Assumptions'!$B$5+K61*'Assumptions'!$B$6+L61*'Assumptions'!$B$7+M61*'Assumptions'!$B$8+IF('Assumptions'!$B$11=1,IF(D61="API",'Assumptions'!$B$10,0),0)</x:f>
        <x:v>0.62</x:v>
      </x:c>
      <x:c r="P61" s="10" t="str">
        <x:v>The cost is 2x when the input exceeds 200k tokens; No user-configurable reasoning effort</x:v>
      </x:c>
      <x:c r="Q61" s="22" t="str">
        <x:v>https://docs.x.ai/developers/models/grok-build-0.1</x:v>
      </x:c>
    </x:row>
    <x:row r="62">
      <x:c r="A62" s="21" t="n">
        <x:v>57</x:v>
      </x:c>
      <x:c r="B62" s="17" t="str">
        <x:v>Composer 2</x:v>
      </x:c>
      <x:c r="C62" s="17" t="str">
        <x:v>Cursor</x:v>
      </x:c>
      <x:c r="D62" s="17" t="str">
        <x:v>Auto + Composer</x:v>
      </x:c>
      <x:c r="E62" s="17" t="str">
        <x:v>Hidden in docs metadata</x:v>
      </x:c>
      <x:c r="F62" s="17" t="str">
        <x:v>composer-2</x:v>
      </x:c>
      <x:c r="G62" s="17" t="str">
        <x:v>Default / thinking-capable</x:v>
      </x:c>
      <x:c r="H62" s="17" t="str">
        <x:v>200k</x:v>
      </x:c>
      <x:c r="I62" s="17" t="str">
        <x:v>-</x:v>
      </x:c>
      <x:c r="J62" s="8" t="n">
        <x:v>0.5</x:v>
      </x:c>
      <x:c r="K62" s="8"/>
      <x:c r="L62" s="8" t="n">
        <x:v>0.2</x:v>
      </x:c>
      <x:c r="M62" s="8" t="n">
        <x:v>2.5</x:v>
      </x:c>
      <x:c r="N62" s="8" t="n">
        <x:f>SUM(J62:M62)</x:f>
        <x:v>3.2</x:v>
      </x:c>
      <x:c r="O62" s="8" t="n">
        <x:f>J62*'Assumptions'!$B$5+K62*'Assumptions'!$B$6+L62*'Assumptions'!$B$7+M62*'Assumptions'!$B$8+IF('Assumptions'!$B$11=1,IF(D62="API",'Assumptions'!$B$10,0),0)</x:f>
        <x:v>0.595</x:v>
      </x:c>
      <x:c r="P62" s="10" t="str"/>
      <x:c r="Q62" s="22" t="str">
        <x:v>https://cursor.com/blog/composer-2</x:v>
      </x:c>
    </x:row>
    <x:row r="63">
      <x:c r="A63" s="21" t="n">
        <x:v>58</x:v>
      </x:c>
      <x:c r="B63" s="17" t="str">
        <x:v>Composer 2.5</x:v>
      </x:c>
      <x:c r="C63" s="17" t="str">
        <x:v>Cursor</x:v>
      </x:c>
      <x:c r="D63" s="17" t="str">
        <x:v>Auto + Composer</x:v>
      </x:c>
      <x:c r="E63" s="17" t="str">
        <x:v>Visible in current docs</x:v>
      </x:c>
      <x:c r="F63" s="17" t="str">
        <x:v>composer-2.5</x:v>
      </x:c>
      <x:c r="G63" s="17" t="str">
        <x:v>Default / thinking-capable</x:v>
      </x:c>
      <x:c r="H63" s="17" t="str">
        <x:v>200k</x:v>
      </x:c>
      <x:c r="I63" s="17" t="str">
        <x:v>-</x:v>
      </x:c>
      <x:c r="J63" s="8" t="n">
        <x:v>0.5</x:v>
      </x:c>
      <x:c r="K63" s="8"/>
      <x:c r="L63" s="8" t="n">
        <x:v>0.2</x:v>
      </x:c>
      <x:c r="M63" s="8" t="n">
        <x:v>2.5</x:v>
      </x:c>
      <x:c r="N63" s="8" t="n">
        <x:f>SUM(J63:M63)</x:f>
        <x:v>3.2</x:v>
      </x:c>
      <x:c r="O63" s="8" t="n">
        <x:f>J63*'Assumptions'!$B$5+K63*'Assumptions'!$B$6+L63*'Assumptions'!$B$7+M63*'Assumptions'!$B$8+IF('Assumptions'!$B$11=1,IF(D63="API",'Assumptions'!$B$10,0),0)</x:f>
        <x:v>0.595</x:v>
      </x:c>
      <x:c r="P63" s="10" t="str"/>
      <x:c r="Q63" s="22" t="str">
        <x:v>https://cursor.com/blog/composer-2-5</x:v>
      </x:c>
    </x:row>
    <x:row r="64">
      <x:c r="A64" s="21" t="n">
        <x:v>59</x:v>
      </x:c>
      <x:c r="B64" s="17" t="str">
        <x:v>Gemini 3 Flash</x:v>
      </x:c>
      <x:c r="C64" s="17" t="str">
        <x:v>Google</x:v>
      </x:c>
      <x:c r="D64" s="17" t="str">
        <x:v>API</x:v>
      </x:c>
      <x:c r="E64" s="17" t="str">
        <x:v>Hidden in docs metadata</x:v>
      </x:c>
      <x:c r="F64" s="17" t="str">
        <x:v>gemini-3-flash</x:v>
      </x:c>
      <x:c r="G64" s="17" t="str">
        <x:v>Default / thinking-capable</x:v>
      </x:c>
      <x:c r="H64" s="17" t="str">
        <x:v>200k</x:v>
      </x:c>
      <x:c r="I64" s="17" t="str">
        <x:v>1M</x:v>
      </x:c>
      <x:c r="J64" s="8" t="n">
        <x:v>0.5</x:v>
      </x:c>
      <x:c r="K64" s="8"/>
      <x:c r="L64" s="8" t="n">
        <x:v>0.05</x:v>
      </x:c>
      <x:c r="M64" s="8" t="n">
        <x:v>3</x:v>
      </x:c>
      <x:c r="N64" s="8" t="n">
        <x:f>SUM(J64:M64)</x:f>
        <x:v>3.55</x:v>
      </x:c>
      <x:c r="O64" s="8" t="n">
        <x:f>J64*'Assumptions'!$B$5+K64*'Assumptions'!$B$6+L64*'Assumptions'!$B$7+M64*'Assumptions'!$B$8+IF('Assumptions'!$B$11=1,IF(D64="API",'Assumptions'!$B$10,0),0)</x:f>
        <x:v>0.58</x:v>
      </x:c>
      <x:c r="P64" s="10" t="str"/>
      <x:c r="Q64" s="22" t="str">
        <x:v>https://ai.google.dev/gemini-api/docs/pricing</x:v>
      </x:c>
    </x:row>
    <x:row r="65">
      <x:c r="A65" s="21" t="n">
        <x:v>60</x:v>
      </x:c>
      <x:c r="B65" s="17" t="str">
        <x:v>Gemini 2.5 Flash</x:v>
      </x:c>
      <x:c r="C65" s="17" t="str">
        <x:v>Google</x:v>
      </x:c>
      <x:c r="D65" s="17" t="str">
        <x:v>API</x:v>
      </x:c>
      <x:c r="E65" s="17" t="str">
        <x:v>Hidden in docs metadata</x:v>
      </x:c>
      <x:c r="F65" s="17" t="str">
        <x:v>gemini-2.5-flash</x:v>
      </x:c>
      <x:c r="G65" s="17" t="str">
        <x:v>Default / thinking-capable</x:v>
      </x:c>
      <x:c r="H65" s="17" t="str">
        <x:v>200k</x:v>
      </x:c>
      <x:c r="I65" s="17" t="str">
        <x:v>1M</x:v>
      </x:c>
      <x:c r="J65" s="8" t="n">
        <x:v>0.3</x:v>
      </x:c>
      <x:c r="K65" s="8"/>
      <x:c r="L65" s="8" t="n">
        <x:v>0.03</x:v>
      </x:c>
      <x:c r="M65" s="8" t="n">
        <x:v>2.5</x:v>
      </x:c>
      <x:c r="N65" s="8" t="n">
        <x:f>SUM(J65:M65)</x:f>
        <x:v>2.83</x:v>
      </x:c>
      <x:c r="O65" s="8" t="n">
        <x:f>J65*'Assumptions'!$B$5+K65*'Assumptions'!$B$6+L65*'Assumptions'!$B$7+M65*'Assumptions'!$B$8+IF('Assumptions'!$B$11=1,IF(D65="API",'Assumptions'!$B$10,0),0)</x:f>
        <x:v>0.453</x:v>
      </x:c>
      <x:c r="P65" s="10" t="str"/>
      <x:c r="Q65" s="22" t="str">
        <x:v>https://ai.google.dev/gemini-api/docs/pricing</x:v>
      </x:c>
    </x:row>
    <x:row r="66">
      <x:c r="A66" s="21" t="n">
        <x:v>61</x:v>
      </x:c>
      <x:c r="B66" s="17" t="str">
        <x:v>GPT-5 Mini</x:v>
      </x:c>
      <x:c r="C66" s="17" t="str">
        <x:v>OpenAI</x:v>
      </x:c>
      <x:c r="D66" s="17" t="str">
        <x:v>API</x:v>
      </x:c>
      <x:c r="E66" s="17" t="str">
        <x:v>Hidden in docs metadata</x:v>
      </x:c>
      <x:c r="F66" s="17" t="str">
        <x:v>gpt-5-mini</x:v>
      </x:c>
      <x:c r="G66" s="17" t="str">
        <x:v>Default / thinking-capable</x:v>
      </x:c>
      <x:c r="H66" s="17" t="str">
        <x:v>272k</x:v>
      </x:c>
      <x:c r="I66" s="17" t="str">
        <x:v>-</x:v>
      </x:c>
      <x:c r="J66" s="8" t="n">
        <x:v>0.25</x:v>
      </x:c>
      <x:c r="K66" s="8"/>
      <x:c r="L66" s="8" t="n">
        <x:v>0.025</x:v>
      </x:c>
      <x:c r="M66" s="8" t="n">
        <x:v>2</x:v>
      </x:c>
      <x:c r="N66" s="8" t="n">
        <x:f>SUM(J66:M66)</x:f>
        <x:v>2.275</x:v>
      </x:c>
      <x:c r="O66" s="8" t="n">
        <x:f>J66*'Assumptions'!$B$5+K66*'Assumptions'!$B$6+L66*'Assumptions'!$B$7+M66*'Assumptions'!$B$8+IF('Assumptions'!$B$11=1,IF(D66="API",'Assumptions'!$B$10,0),0)</x:f>
        <x:v>0.365</x:v>
      </x:c>
      <x:c r="P66" s="10" t="str"/>
      <x:c r="Q66" s="22" t="str">
        <x:v>https://platform.openai.com/docs/models/gpt-5</x:v>
      </x:c>
    </x:row>
    <x:row r="67">
      <x:c r="A67" s="21" t="n">
        <x:v>62</x:v>
      </x:c>
      <x:c r="B67" s="17" t="str">
        <x:v>GPT-5.1 Codex Mini</x:v>
      </x:c>
      <x:c r="C67" s="17" t="str">
        <x:v>OpenAI</x:v>
      </x:c>
      <x:c r="D67" s="17" t="str">
        <x:v>API</x:v>
      </x:c>
      <x:c r="E67" s="17" t="str">
        <x:v>Hidden in docs metadata</x:v>
      </x:c>
      <x:c r="F67" s="17" t="str">
        <x:v>gpt-5.1-codex-mini</x:v>
      </x:c>
      <x:c r="G67" s="17" t="str">
        <x:v>Default / thinking-capable</x:v>
      </x:c>
      <x:c r="H67" s="17" t="str">
        <x:v>272k</x:v>
      </x:c>
      <x:c r="I67" s="17" t="str">
        <x:v>-</x:v>
      </x:c>
      <x:c r="J67" s="8" t="n">
        <x:v>0.25</x:v>
      </x:c>
      <x:c r="K67" s="8"/>
      <x:c r="L67" s="8" t="n">
        <x:v>0.025</x:v>
      </x:c>
      <x:c r="M67" s="8" t="n">
        <x:v>2</x:v>
      </x:c>
      <x:c r="N67" s="8" t="n">
        <x:f>SUM(J67:M67)</x:f>
        <x:v>2.275</x:v>
      </x:c>
      <x:c r="O67" s="8" t="n">
        <x:f>J67*'Assumptions'!$B$5+K67*'Assumptions'!$B$6+L67*'Assumptions'!$B$7+M67*'Assumptions'!$B$8+IF('Assumptions'!$B$11=1,IF(D67="API",'Assumptions'!$B$10,0),0)</x:f>
        <x:v>0.365</x:v>
      </x:c>
      <x:c r="P67" s="10" t="str">
        <x:v>Agentic and reasoning capabilities; 4x rate limits compared to GPT-5.1 Codex</x:v>
      </x:c>
      <x:c r="Q67" s="22" t="str">
        <x:v>https://platform.openai.com/docs/models/gpt-5-codex</x:v>
      </x:c>
    </x:row>
    <x:row r="68">
      <x:c r="A68" s="23" t="n">
        <x:v>63</x:v>
      </x:c>
      <x:c r="B68" s="24" t="str">
        <x:v>GPT-5.4 Nano</x:v>
      </x:c>
      <x:c r="C68" s="24" t="str">
        <x:v>OpenAI</x:v>
      </x:c>
      <x:c r="D68" s="24" t="str">
        <x:v>API</x:v>
      </x:c>
      <x:c r="E68" s="24" t="str">
        <x:v>Hidden in docs metadata</x:v>
      </x:c>
      <x:c r="F68" s="24" t="str">
        <x:v>gpt-5.4-nano</x:v>
      </x:c>
      <x:c r="G68" s="24" t="str">
        <x:v>Default / thinking-capable</x:v>
      </x:c>
      <x:c r="H68" s="24" t="str">
        <x:v>272k</x:v>
      </x:c>
      <x:c r="I68" s="24" t="str">
        <x:v>-</x:v>
      </x:c>
      <x:c r="J68" s="25" t="n">
        <x:v>0.2</x:v>
      </x:c>
      <x:c r="K68" s="25"/>
      <x:c r="L68" s="25" t="n">
        <x:v>0.02</x:v>
      </x:c>
      <x:c r="M68" s="25" t="n">
        <x:v>1.25</x:v>
      </x:c>
      <x:c r="N68" s="25" t="n">
        <x:f>SUM(J68:M68)</x:f>
        <x:v>1.47</x:v>
      </x:c>
      <x:c r="O68" s="25" t="n">
        <x:f>J68*'Assumptions'!$B$5+K68*'Assumptions'!$B$6+L68*'Assumptions'!$B$7+M68*'Assumptions'!$B$8+IF('Assumptions'!$B$11=1,IF(D68="API",'Assumptions'!$B$10,0),0)</x:f>
        <x:v>0.2395</x:v>
      </x:c>
      <x:c r="P68" s="26" t="str">
        <x:v>Smallest GPT-5.4 variant, optimized for cost; 90% discount on cached input tokens</x:v>
      </x:c>
      <x:c r="Q68" s="27" t="str">
        <x:v>https://platform.openai.com/docs/models/gpt-5</x:v>
      </x:c>
    </x:row>
  </x:sheetData>
  <x:mergeCells>
    <x:mergeCell ref="A1:Q1"/>
    <x:mergeCell ref="A2:Q2"/>
  </x:mergeCells>
  <x:conditionalFormatting sqref="O6:O68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0d79120a6744ae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2" hidden="0" customWidth="1"/>
    <x:col min="3" max="3" width="70" hidden="0" customWidth="1"/>
    <x:col min="4" max="4" width="8" hidden="0" customWidth="1"/>
  </x:cols>
  <x:sheetData>
    <x:row r="1" ht="24" customHeight="1">
      <x:c r="A1" s="104" t="str">
        <x:v>Assumptions</x:v>
      </x:c>
      <x:c r="B1" s="105"/>
      <x:c r="C1" s="105"/>
      <x:c r="D1" s="106"/>
    </x:row>
    <x:row r="2">
      <x:c r="A2" s="107"/>
      <x:c r="B2" s="17"/>
      <x:c r="C2" s="17"/>
      <x:c r="D2" s="108"/>
    </x:row>
    <x:row r="3" ht="34" customHeight="1">
      <x:c r="A3" s="109" t="str">
        <x:v>As-of date</x:v>
      </x:c>
      <x:c r="B3" s="10" t="str">
        <x:v>2026-06-27</x:v>
      </x:c>
      <x:c r="C3" s="10" t="str">
        <x:v>Rates were pulled from Cursor docs during this session.</x:v>
      </x:c>
      <x:c r="D3" s="108"/>
    </x:row>
    <x:row r="4" ht="34" customHeight="1">
      <x:c r="A4" s="109" t="str">
        <x:v>Unit</x:v>
      </x:c>
      <x:c r="B4" s="10" t="str">
        <x:v>USD per 1M tokens</x:v>
      </x:c>
      <x:c r="C4" s="10" t="str">
        <x:v>All rate columns use this unit.</x:v>
      </x:c>
      <x:c r="D4" s="108"/>
    </x:row>
    <x:row r="5" ht="34" customHeight="1">
      <x:c r="A5" s="109" t="str">
        <x:v>Uncached input share</x:v>
      </x:c>
      <x:c r="B5" s="113" t="n">
        <x:v>0.2</x:v>
      </x:c>
      <x:c r="C5" s="10" t="str">
        <x:v>Default coding-agent mix assumption.</x:v>
      </x:c>
      <x:c r="D5" s="108"/>
    </x:row>
    <x:row r="6" ht="34" customHeight="1">
      <x:c r="A6" s="109" t="str">
        <x:v>Cache write share</x:v>
      </x:c>
      <x:c r="B6" s="113" t="n">
        <x:v>0.05</x:v>
      </x:c>
      <x:c r="C6" s="10" t="str">
        <x:v>Only relevant when the provider exposes cache-write pricing.</x:v>
      </x:c>
      <x:c r="D6" s="108"/>
    </x:row>
    <x:row r="7" ht="34" customHeight="1">
      <x:c r="A7" s="109" t="str">
        <x:v>Cache read share</x:v>
      </x:c>
      <x:c r="B7" s="113" t="n">
        <x:v>0.6</x:v>
      </x:c>
      <x:c r="C7" s="10" t="str">
        <x:v>Most repeated repository context often reads from cache.</x:v>
      </x:c>
      <x:c r="D7" s="108"/>
    </x:row>
    <x:row r="8" ht="34" customHeight="1">
      <x:c r="A8" s="109" t="str">
        <x:v>Output share</x:v>
      </x:c>
      <x:c r="B8" s="113" t="n">
        <x:v>0.15</x:v>
      </x:c>
      <x:c r="C8" s="10" t="str">
        <x:v>Outputs are usually fewer tokens than context reads.</x:v>
      </x:c>
      <x:c r="D8" s="108"/>
    </x:row>
    <x:row r="9" ht="34" customHeight="1">
      <x:c r="A9" s="109" t="str">
        <x:v>Weight sum check</x:v>
      </x:c>
      <x:c r="B9" s="113" t="n">
        <x:f>SUM(B5:B8)</x:f>
        <x:v>1</x:v>
      </x:c>
      <x:c r="C9" s="10" t="str">
        <x:v>Should equal 100%.</x:v>
      </x:c>
      <x:c r="D9" s="108"/>
    </x:row>
    <x:row r="10" ht="34" customHeight="1">
      <x:c r="A10" s="109" t="str">
        <x:v>Teams Cursor Token Rate $/1M</x:v>
      </x:c>
      <x:c r="B10" s="59" t="n">
        <x:v>0.25</x:v>
      </x:c>
      <x:c r="C10" s="10" t="str">
        <x:v>Cursor docs: Teams non-Auto agent requests add this on top.</x:v>
      </x:c>
      <x:c r="D10" s="108"/>
    </x:row>
    <x:row r="11" ht="34" customHeight="1">
      <x:c r="A11" s="109" t="str">
        <x:v>Include Teams non-Auto surcharge? 1=yes, 0=no</x:v>
      </x:c>
      <x:c r="B11" s="10" t="n">
        <x:v>0</x:v>
      </x:c>
      <x:c r="C11" s="10" t="str">
        <x:v>Default is 0 for individual-plan comparison.</x:v>
      </x:c>
      <x:c r="D11" s="108"/>
    </x:row>
    <x:row r="12" ht="34" customHeight="1">
      <x:c r="A12" s="109" t="str">
        <x:v>Sort basis</x:v>
      </x:c>
      <x:c r="B12" s="10" t="str">
        <x:v>Estimated Blended $/1M</x:v>
      </x:c>
      <x:c r="C12" s="10" t="str">
        <x:v>Rows are pre-sorted by this calculated field descending.</x:v>
      </x:c>
      <x:c r="D12" s="108"/>
    </x:row>
    <x:row r="13" ht="34" customHeight="1">
      <x:c r="A13" s="109" t="str">
        <x:v>Blank cache write handling</x:v>
      </x:c>
      <x:c r="B13" s="10" t="str">
        <x:v>Treated as 0 in formulas</x:v>
      </x:c>
      <x:c r="C13" s="10" t="str">
        <x:v>Models without cache-write pricing are not charged for that category in this estimate.</x:v>
      </x:c>
      <x:c r="D13" s="108"/>
    </x:row>
    <x:row r="14" ht="34" customHeight="1">
      <x:c r="A14" s="109" t="str">
        <x:v>Source</x:v>
      </x:c>
      <x:c r="B14" s="10" t="str">
        <x:v>https://cursor.com/docs/models-and-pricing</x:v>
      </x:c>
      <x:c r="C14" s="10" t="str">
        <x:v>Plain-text URL included for auditability.</x:v>
      </x:c>
      <x:c r="D14" s="108"/>
    </x:row>
    <x:row r="15" ht="34" customHeight="1">
      <x:c r="A15" s="109" t="str">
        <x:v>Important caveat</x:v>
      </x:c>
      <x:c r="B15" s="10" t="str">
        <x:v>Actual usage varies by prompt, repo size, context reuse, Max Mode, and output length.</x:v>
      </x:c>
      <x:c r="C15" s="10" t="str"/>
      <x:c r="D15" s="108"/>
    </x:row>
    <x:row r="16" ht="34" customHeight="1">
      <x:c r="A16" s="109" t="str">
        <x:v>Visible vs hidden rows</x:v>
      </x:c>
      <x:c r="B16" s="10" t="str">
        <x:v>Hidden metadata rows are retained and flagged, not removed.</x:v>
      </x:c>
      <x:c r="C16" s="10" t="str"/>
      <x:c r="D16" s="108"/>
    </x:row>
    <x:row r="17" ht="34" customHeight="1">
      <x:c r="A17" s="110" t="str">
        <x:v>Benchmark source refresh date</x:v>
      </x:c>
      <x:c r="B17" s="114" t="str">
        <x:v>2026-06-28</x:v>
      </x:c>
      <x:c r="C17" s="114" t="str">
        <x:v>Benchmark sources were reviewed separately from rate extraction.</x:v>
      </x:c>
      <x:c r="D17" s="112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6" hidden="0" customWidth="1"/>
    <x:col min="3" max="3" width="46" hidden="0" customWidth="1"/>
    <x:col min="4" max="4" width="58" hidden="0" customWidth="1"/>
    <x:col min="5" max="5" width="48" hidden="0" customWidth="1"/>
    <x:col min="6" max="6" width="44" hidden="0" customWidth="1"/>
    <x:col min="7" max="7" width="50" hidden="0" customWidth="1"/>
  </x:cols>
  <x:sheetData>
    <x:row r="1" ht="28" customHeight="1">
      <x:c r="A1" s="35" t="str">
        <x:v>Coding Benchmark Guide for Model Selection</x:v>
      </x:c>
      <x:c r="B1" s="36"/>
      <x:c r="C1" s="36"/>
      <x:c r="D1" s="36"/>
      <x:c r="E1" s="36"/>
      <x:c r="F1" s="36"/>
      <x:c r="G1" s="37"/>
    </x:row>
    <x:row r="2" ht="46" customHeight="1">
      <x:c r="A2" s="38" t="str">
        <x:v>Use this sheet to match task type to benchmark evidence. Benchmarks are proxies: combine capability signal with Model Rates, task risk, verification strength, and current project guidance.</x:v>
      </x:c>
      <x:c r="B2" s="29"/>
      <x:c r="C2" s="29"/>
      <x:c r="D2" s="29"/>
      <x:c r="E2" s="29"/>
      <x:c r="F2" s="29"/>
      <x:c r="G2" s="39"/>
    </x:row>
    <x:row r="3">
      <x:c r="A3" s="40"/>
      <x:c r="B3" s="17"/>
      <x:c r="C3" s="17"/>
      <x:c r="D3" s="17"/>
      <x:c r="E3" s="17"/>
      <x:c r="F3" s="17"/>
      <x:c r="G3" s="41"/>
    </x:row>
    <x:row r="4">
      <x:c r="A4" s="40"/>
      <x:c r="B4" s="17"/>
      <x:c r="C4" s="17"/>
      <x:c r="D4" s="17"/>
      <x:c r="E4" s="17"/>
      <x:c r="F4" s="17"/>
      <x:c r="G4" s="41"/>
    </x:row>
    <x:row r="5" ht="36" customHeight="1">
      <x:c r="A5" s="42" t="str">
        <x:v>Benchmark</x:v>
      </x:c>
      <x:c r="B5" s="34" t="str">
        <x:v>Capability Signal</x:v>
      </x:c>
      <x:c r="C5" s="34" t="str">
        <x:v>Best Task Fit</x:v>
      </x:c>
      <x:c r="D5" s="34" t="str">
        <x:v>How to Use in Recommendation</x:v>
      </x:c>
      <x:c r="E5" s="34" t="str">
        <x:v>Cost / Token Implication</x:v>
      </x:c>
      <x:c r="F5" s="34" t="str">
        <x:v>Limitations</x:v>
      </x:c>
      <x:c r="G5" s="43" t="str">
        <x:v>Source URL</x:v>
      </x:c>
    </x:row>
    <x:row r="6" ht="92" customHeight="1">
      <x:c r="A6" s="44" t="str">
        <x:v>CursorBench / Composer 2</x:v>
      </x:c>
      <x:c r="B6" s="10" t="str">
        <x:v>Agentic coding score; Composer 2 reports 61.3 on CursorBench, 61.7 on Terminal-Bench, and 73.7 on SWE-bench Multilingual in the Cursor harness.</x:v>
      </x:c>
      <x:c r="C6" s="10" t="str">
        <x:v>Cursor-native agentic edits, ordinary codebase tasks, long-horizon coding inside Cursor.</x:v>
      </x:c>
      <x:c r="D6" s="10" t="str">
        <x:v>Use as support for Auto/Composer when the task is low-to-moderate risk and exact model determinism is less important than included usage.</x:v>
      </x:c>
      <x:c r="E6" s="10" t="str">
        <x:v>A specialized Cursor model can be the cheaper practical default when its capability is sufficient.</x:v>
      </x:c>
      <x:c r="F6" s="10" t="str">
        <x:v>Vendor harness and Composer 2 result are proxies; do not treat as a universal model ranking.</x:v>
      </x:c>
      <x:c r="G6" s="45" t="str">
        <x:v>https://arxiv.org/abs/2603.24477</x:v>
      </x:c>
    </x:row>
    <x:row r="7" ht="92" customHeight="1">
      <x:c r="A7" s="44" t="str">
        <x:v>Aider Polyglot</x:v>
      </x:c>
      <x:c r="B7" s="10" t="str">
        <x:v>Percent correct plus reported cost, prompt tokens, and completion tokens on 225 multi-language Exercism tasks.</x:v>
      </x:c>
      <x:c r="C7" s="10" t="str">
        <x:v>Small-to-moderate code editing, refactors, tests, and reasoning-level tradeoffs across C++, Go, Java, JavaScript, Python, and Rust.</x:v>
      </x:c>
      <x:c r="D7" s="10" t="str">
        <x:v>Compare score lift against cost/token lift. Medium reasoning often gets close to high reasoning at materially lower cost.</x:v>
      </x:c>
      <x:c r="E7" s="10" t="str">
        <x:v>Use low/medium for scoped work; reserve high when added reliability is worth slower, heavier output.</x:v>
      </x:c>
      <x:c r="F7" s="10" t="str">
        <x:v>Aider terminal harness, not Cursor; use as reasoning-tier evidence, not exact Cursor model truth.</x:v>
      </x:c>
      <x:c r="G7" s="45" t="str">
        <x:v>https://aider.chat/docs/leaderboards/</x:v>
      </x:c>
    </x:row>
    <x:row r="8" ht="92" customHeight="1">
      <x:c r="A8" s="44" t="str">
        <x:v>SWE-bench Verified / Multilingual</x:v>
      </x:c>
      <x:c r="B8" s="10" t="str">
        <x:v>% Resolved on real GitHub issue-resolution tasks; Verified has 500 human-filtered tasks and Multilingual has 300 tasks across 9 programming languages.</x:v>
      </x:c>
      <x:c r="C8" s="10" t="str">
        <x:v>Existing-repo bug fixes, regressions, cross-file refactors, and language-specific issue repair.</x:v>
      </x:c>
      <x:c r="D8" s="10" t="str">
        <x:v>Use to justify a predictable specific model for nontrivial repo issue work; combine with task risk and local test availability.</x:v>
      </x:c>
      <x:c r="E8" s="10" t="str">
        <x:v>Repo issue work can spend many tokens on search, logs, and retries, so avoid top models when the task is well localized.</x:v>
      </x:c>
      <x:c r="F8" s="10" t="str">
        <x:v>Benchmarks can be affected by harness and contamination; official leaderboard entries drift frequently.</x:v>
      </x:c>
      <x:c r="G8" s="45" t="str">
        <x:v>https://www.swebench.com/</x:v>
      </x:c>
    </x:row>
    <x:row r="9" ht="92" customHeight="1">
      <x:c r="A9" s="44" t="str">
        <x:v>SWE-bench Pro</x:v>
      </x:c>
      <x:c r="B9" s="10" t="str">
        <x:v>Pass@1 on long-horizon enterprise software tasks; paper reports GPT-5 at 23.3% and all evaluated models below 25%.</x:v>
      </x:c>
      <x:c r="C9" s="10" t="str">
        <x:v>Broad architecture, persistence, migrations, multi-system changes, and work likely to span hours for a human engineer.</x:v>
      </x:c>
      <x:c r="D9" s="10" t="str">
        <x:v>Use to justify GPT-5.5 High/Extra High, GPT-5.4 High, or Opus high tiers only when scope/risk is genuinely broad.</x:v>
      </x:c>
      <x:c r="E9" s="10" t="str">
        <x:v>Split tasks before escalating; high reasoning may be justified, but broad autonomous work remains low-success and token-heavy.</x:v>
      </x:c>
      <x:c r="F9" s="10" t="str">
        <x:v>Commercial/held-out splits limit reproducibility; low absolute scores mean verification matters more than model rank.</x:v>
      </x:c>
      <x:c r="G9" s="45" t="str">
        <x:v>https://arxiv.org/abs/2509.16941</x:v>
      </x:c>
    </x:row>
    <x:row r="10" ht="92" customHeight="1">
      <x:c r="A10" s="44" t="str">
        <x:v>Terminal-Bench 2.0</x:v>
      </x:c>
      <x:c r="B10" s="10" t="str">
        <x:v>Terminal task-resolution accuracy across software engineering, system administration, security, ML, and data tasks.</x:v>
      </x:c>
      <x:c r="C10" s="10" t="str">
        <x:v>Build/test failures, CI, deployment, shell-heavy debugging, data scripts, and terminal workflows.</x:v>
      </x:c>
      <x:c r="D10" s="10" t="str">
        <x:v>Use high-scoring terminal-agent evidence for gnarly CLI/root-cause tasks; use cheap models for simple command execution.</x:v>
      </x:c>
      <x:c r="E10" s="10" t="str">
        <x:v>Terminal tasks are log-heavy. Summarize outputs, cap context, and avoid MAX unless large logs/repo state are essential.</x:v>
      </x:c>
      <x:c r="F10" s="10" t="str">
        <x:v>Agent harness matters heavily; model score is not separable from tooling and scaffold quality.</x:v>
      </x:c>
      <x:c r="G10" s="45" t="str">
        <x:v>https://www.tbench.ai/leaderboard/terminal-bench/2.0</x:v>
      </x:c>
    </x:row>
    <x:row r="11" ht="92" customHeight="1">
      <x:c r="A11" s="44" t="str">
        <x:v>BigCodeBench</x:v>
      </x:c>
      <x:c r="B11" s="10" t="str">
        <x:v>1,140 tasks requiring multiple function calls across 139 libraries and 7 domains; best LLMs reported up to 60% versus 97% human performance.</x:v>
      </x:c>
      <x:c r="C11" s="10" t="str">
        <x:v>Python/library/API/tool-use programming, data/web utility code, and unfamiliar package usage.</x:v>
      </x:c>
      <x:c r="D11" s="10" t="str">
        <x:v>Use to prefer a coding-capable specific model when task success depends on precise library/tool usage.</x:v>
      </x:c>
      <x:c r="E11" s="10" t="str">
        <x:v>Cheaper models are fine when APIs are familiar and tests are tight; escalate for unfamiliar libraries or weak specs.</x:v>
      </x:c>
      <x:c r="F11" s="10" t="str">
        <x:v>Not a repository-edit benchmark and is mostly code-generation/tool-use oriented.</x:v>
      </x:c>
      <x:c r="G11" s="45" t="str">
        <x:v>https://arxiv.org/abs/2406.15877</x:v>
      </x:c>
    </x:row>
    <x:row r="12" ht="92" customHeight="1">
      <x:c r="A12" s="44" t="str">
        <x:v>SWE-Lancer</x:v>
      </x:c>
      <x:c r="B12" s="10" t="str">
        <x:v>More than 1,400 real freelance software engineering tasks valued at $1M total, including independent engineering and managerial proposal-selection tasks.</x:v>
      </x:c>
      <x:c r="C12" s="10" t="str">
        <x:v>Task scoping, implementation-vs-managerial recommendations, proposal review, and economically meaningful engineering work.</x:v>
      </x:c>
      <x:c r="D12" s="10" t="str">
        <x:v>Use to justify stronger reasoning for dev-project-manager prompts when the task includes ambiguous planning or proposal choice.</x:v>
      </x:c>
      <x:c r="E12" s="10" t="str">
        <x:v>Managerial decomposition can save downstream tokens by avoiding the wrong implementation path.</x:v>
      </x:c>
      <x:c r="F12" s="10" t="str">
        <x:v>Frontier models still fail the majority of tasks; use as a risk signal, not a guarantee.</x:v>
      </x:c>
      <x:c r="G12" s="45" t="str">
        <x:v>https://openai.com/index/swe-lancer/</x:v>
      </x:c>
    </x:row>
    <x:row r="13" ht="92" customHeight="1">
      <x:c r="A13" s="44" t="str">
        <x:v>SWE-Bench Mobile</x:v>
      </x:c>
      <x:c r="B13" s="10" t="str">
        <x:v>Production iOS benchmark with PRDs, Figma inputs, mixed Swift/Objective-C code, and comprehensive tests; best configurations report only 12% success.</x:v>
      </x:c>
      <x:c r="C13" s="10" t="str">
        <x:v>Apple-platform UI/mobile work, especially iOS/macOS/iPadOS implementation and visual/design-driven tasks.</x:v>
      </x:c>
      <x:c r="D13" s="10" t="str">
        <x:v>Do not rely on generic coding scores alone. Pair model choice with Xcode/iOS/macOS skills, visual checks, and narrow task boundaries.</x:v>
      </x:c>
      <x:c r="E13" s="10" t="str">
        <x:v>A stronger model alone is not enough; workflow, simulator/Xcode verification, and task decomposition reduce wasted tokens.</x:v>
      </x:c>
      <x:c r="F13" s="10" t="str">
        <x:v>Mobile-specific hosted benchmark; not a direct Cursor-model leaderboard.</x:v>
      </x:c>
      <x:c r="G13" s="45" t="str">
        <x:v>https://arxiv.org/abs/2602.09540</x:v>
      </x:c>
    </x:row>
    <x:row r="14" ht="92" customHeight="1">
      <x:c r="A14" s="44" t="str">
        <x:v>SpecBench</x:v>
      </x:c>
      <x:c r="B14" s="10" t="str">
        <x:v>Specification-level software-engineering critique; paper reports the best performing agent, GPT-5.4, at 44.4% accuracy.</x:v>
      </x:c>
      <x:c r="C14" s="10" t="str">
        <x:v>Architecture review, requirement ambiguity, RFC-style design critique, and pre-implementation planning.</x:v>
      </x:c>
      <x:c r="D14" s="10" t="str">
        <x:v>Use stronger reasoning when the task is about finding missing/incorrect requirements before code is changed.</x:v>
      </x:c>
      <x:c r="E14" s="10" t="str">
        <x:v>Spending more reasoning up front can save failed implementation loops for ambiguous tasks.</x:v>
      </x:c>
      <x:c r="F14" s="10" t="str">
        <x:v>Evaluates specification critique rather than patch writing.</x:v>
      </x:c>
      <x:c r="G14" s="45" t="str">
        <x:v>https://arxiv.org/abs/2605.30314</x:v>
      </x:c>
    </x:row>
    <x:row r="15" ht="92" customHeight="1">
      <x:c r="A15" s="44" t="str">
        <x:v>SWE-Skills-Bench</x:v>
      </x:c>
      <x:c r="B15" s="10" t="str">
        <x:v>Skill-injection utility and token overhead; paper reports average gain of +1.2%, 39 of 49 skills with zero pass-rate improvement, and overhead up to 451%.</x:v>
      </x:c>
      <x:c r="C15" s="10" t="str">
        <x:v>Plugin/skill recommendation discipline for coding agents.</x:v>
      </x:c>
      <x:c r="D15" s="10" t="str">
        <x:v>Recommend only exact, domain-fit plugins/skills. Do not add skills just because they exist.</x:v>
      </x:c>
      <x:c r="E15" s="10" t="str">
        <x:v>Unneeded skills can increase tokens without improving results; smallest useful toolset should be the default.</x:v>
      </x:c>
      <x:c r="F15" s="10" t="str">
        <x:v>Skill effects depend on version fit and task/domain match.</x:v>
      </x:c>
      <x:c r="G15" s="45" t="str">
        <x:v>https://arxiv.org/abs/2603.15401</x:v>
      </x:c>
    </x:row>
    <x:row r="16" ht="92" customHeight="1">
      <x:c r="A16" s="46" t="str">
        <x:v>CORE-Bench</x:v>
      </x:c>
      <x:c r="B16" s="47" t="str">
        <x:v>Repository code retrieval/localization benchmark with issue-to-edit and broader-context retrieval tasks.</x:v>
      </x:c>
      <x:c r="C16" s="47" t="str">
        <x:v>Large-repo navigation, finding relevant files, and deciding whether MAX/large context is justified.</x:v>
      </x:c>
      <x:c r="D16" s="47" t="str">
        <x:v>Use search/localization first; turn on MAX only when relevant context cannot be narrowed safely.</x:v>
      </x:c>
      <x:c r="E16" s="47" t="str">
        <x:v>Good context selection is often cheaper than larger context windows.</x:v>
      </x:c>
      <x:c r="F16" s="47" t="str">
        <x:v>Measures retrieval/localization rather than full implementation.</x:v>
      </x:c>
      <x:c r="G16" s="48" t="str">
        <x:v>https://arxiv.org/abs/2606.11864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6fe45900c614f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12" hidden="0" customWidth="1"/>
    <x:col min="5" max="5" width="18" hidden="0" customWidth="1"/>
    <x:col min="6" max="6" width="17" hidden="0" customWidth="1"/>
    <x:col min="7" max="7" width="17" hidden="0" customWidth="1"/>
    <x:col min="8" max="8" width="19" hidden="0" customWidth="1"/>
    <x:col min="9" max="9" width="17" hidden="0" customWidth="1"/>
    <x:col min="10" max="10" width="20" hidden="0" customWidth="1"/>
    <x:col min="11" max="11" width="44" hidden="0" customWidth="1"/>
    <x:col min="12" max="12" width="62" hidden="0" customWidth="1"/>
    <x:col min="13" max="13" width="44" hidden="0" customWidth="1"/>
    <x:col min="14" max="14" width="50" hidden="0" customWidth="1"/>
  </x:cols>
  <x:sheetData>
    <x:row r="1" ht="28" customHeight="1">
      <x:c r="A1" s="61" t="str">
        <x:v>Benchmark Signals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3"/>
    </x:row>
    <x:row r="2" ht="46" customHeight="1">
      <x:c r="A2" s="64" t="str">
        <x:v>Numeric benchmark rows and reported cost/token signals where available. Use mapping and caveats before applying any result to a Cursor or Codex model recommendation.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65"/>
    </x:row>
    <x:row r="3">
      <x:c r="A3" s="66"/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67"/>
    </x:row>
    <x:row r="4">
      <x:c r="A4" s="66"/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67"/>
    </x:row>
    <x:row r="5" ht="36" customHeight="1">
      <x:c r="A5" s="68" t="str">
        <x:v>Benchmark</x:v>
      </x:c>
      <x:c r="B5" s="55" t="str">
        <x:v>Model / Agent</x:v>
      </x:c>
      <x:c r="C5" s="55" t="str">
        <x:v>Cursor/Codex Mapping</x:v>
      </x:c>
      <x:c r="D5" s="55" t="str">
        <x:v>Score</x:v>
      </x:c>
      <x:c r="E5" s="55" t="str">
        <x:v>Score Unit</x:v>
      </x:c>
      <x:c r="F5" s="55" t="str">
        <x:v>Reported Cost $</x:v>
      </x:c>
      <x:c r="G5" s="55" t="str">
        <x:v>Prompt Tokens</x:v>
      </x:c>
      <x:c r="H5" s="55" t="str">
        <x:v>Completion Tokens</x:v>
      </x:c>
      <x:c r="I5" s="55" t="str">
        <x:v>Total Tokens</x:v>
      </x:c>
      <x:c r="J5" s="55" t="str">
        <x:v>Cost per Score Point</x:v>
      </x:c>
      <x:c r="K5" s="55" t="str">
        <x:v>Best Task Fit</x:v>
      </x:c>
      <x:c r="L5" s="55" t="str">
        <x:v>Recommendation Guidance</x:v>
      </x:c>
      <x:c r="M5" s="55" t="str">
        <x:v>Caveat</x:v>
      </x:c>
      <x:c r="N5" s="69" t="str">
        <x:v>Source URL</x:v>
      </x:c>
    </x:row>
    <x:row r="6" ht="76" customHeight="1">
      <x:c r="A6" s="70" t="str">
        <x:v>Terminal-Bench 2.0</x:v>
      </x:c>
      <x:c r="B6" s="10" t="str">
        <x:v>NexAU-AHE + GPT-5.5</x:v>
      </x:c>
      <x:c r="C6" s="10" t="str">
        <x:v>GPT-5.5 High / Extra High proxy</x:v>
      </x:c>
      <x:c r="D6" s="58" t="n">
        <x:v>84.7</x:v>
      </x:c>
      <x:c r="E6" s="10" t="str">
        <x:v>accuracy %</x:v>
      </x:c>
      <x:c r="F6" s="59"/>
      <x:c r="G6" s="60"/>
      <x:c r="H6" s="60"/>
      <x:c r="I6" s="60" t="str">
        <x:f>IF(COUNTA(G6:H6)=0,"",SUM(G6:H6))</x:f>
      </x:c>
      <x:c r="J6" s="59" t="str">
        <x:f>IF(OR(F6="",F6=0),"",IFERROR(F6/D6,""))</x:f>
      </x:c>
      <x:c r="K6" s="10" t="str">
        <x:v>Terminal-heavy coding, CI, deployment, system debugging</x:v>
      </x:c>
      <x:c r="L6" s="10" t="str">
        <x:v>Top listed GPT-5.5 terminal-agent result; reserve similar tiers for difficult terminal/root-cause work.</x:v>
      </x:c>
      <x:c r="M6" s="10" t="str">
        <x:v>Agent harness contributes materially.</x:v>
      </x:c>
      <x:c r="N6" s="71" t="str">
        <x:v>https://www.tbench.ai/leaderboard/terminal-bench/2.0</x:v>
      </x:c>
    </x:row>
    <x:row r="7" ht="76" customHeight="1">
      <x:c r="A7" s="70" t="str">
        <x:v>Terminal-Bench 2.0</x:v>
      </x:c>
      <x:c r="B7" s="10" t="str">
        <x:v>Codex CLI + GPT-5.5</x:v>
      </x:c>
      <x:c r="C7" s="10" t="str">
        <x:v>GPT-5.5 High / Codex high proxy</x:v>
      </x:c>
      <x:c r="D7" s="58" t="n">
        <x:v>82.2</x:v>
      </x:c>
      <x:c r="E7" s="10" t="str">
        <x:v>accuracy %</x:v>
      </x:c>
      <x:c r="F7" s="59"/>
      <x:c r="G7" s="60"/>
      <x:c r="H7" s="60"/>
      <x:c r="I7" s="60" t="str">
        <x:f>IF(COUNTA(G7:H7)=0,"",SUM(G7:H7))</x:f>
      </x:c>
      <x:c r="J7" s="59" t="str">
        <x:f>IF(OR(F7="",F7=0),"",IFERROR(F7/D7,""))</x:f>
      </x:c>
      <x:c r="K7" s="10" t="str">
        <x:v>Codex-style CLI workflows</x:v>
      </x:c>
      <x:c r="L7" s="10" t="str">
        <x:v>Strong evidence for difficult CLI/debug/deployment tasks when exactness matters.</x:v>
      </x:c>
      <x:c r="M7" s="10" t="str">
        <x:v>Not the same as Cursor dropdown behavior.</x:v>
      </x:c>
      <x:c r="N7" s="71" t="str">
        <x:v>https://www.tbench.ai/leaderboard/terminal-bench/2.0</x:v>
      </x:c>
    </x:row>
    <x:row r="8" ht="76" customHeight="1">
      <x:c r="A8" s="70" t="str">
        <x:v>Terminal-Bench 2.0</x:v>
      </x:c>
      <x:c r="B8" s="10" t="str">
        <x:v>WOZCODE + Claude Opus 4.7</x:v>
      </x:c>
      <x:c r="C8" s="10" t="str">
        <x:v>Opus 4.7 Extra High proxy</x:v>
      </x:c>
      <x:c r="D8" s="58" t="n">
        <x:v>80.2</x:v>
      </x:c>
      <x:c r="E8" s="10" t="str">
        <x:v>accuracy %</x:v>
      </x:c>
      <x:c r="F8" s="59"/>
      <x:c r="G8" s="60"/>
      <x:c r="H8" s="60"/>
      <x:c r="I8" s="60" t="str">
        <x:f>IF(COUNTA(G8:H8)=0,"",SUM(G8:H8))</x:f>
      </x:c>
      <x:c r="J8" s="59" t="str">
        <x:f>IF(OR(F8="",F8=0),"",IFERROR(F8/D8,""))</x:f>
      </x:c>
      <x:c r="K8" s="10" t="str">
        <x:v>Hard terminal workflows and broad debugging</x:v>
      </x:c>
      <x:c r="L8" s="10" t="str">
        <x:v>Use only when top non-OpenAI reasoning is justified by risk or repeated failures.</x:v>
      </x:c>
      <x:c r="M8" s="10" t="str">
        <x:v>Agent scaffold matters.</x:v>
      </x:c>
      <x:c r="N8" s="71" t="str">
        <x:v>https://www.tbench.ai/leaderboard/terminal-bench/2.0</x:v>
      </x:c>
    </x:row>
    <x:row r="9" ht="76" customHeight="1">
      <x:c r="A9" s="70" t="str">
        <x:v>Terminal-Bench 2.0</x:v>
      </x:c>
      <x:c r="B9" s="10" t="str">
        <x:v>TongAgents + Gemini 3.1 Pro</x:v>
      </x:c>
      <x:c r="C9" s="10" t="str">
        <x:v>Gemini 3.1 Pro proxy</x:v>
      </x:c>
      <x:c r="D9" s="58" t="n">
        <x:v>80.2</x:v>
      </x:c>
      <x:c r="E9" s="10" t="str">
        <x:v>accuracy %</x:v>
      </x:c>
      <x:c r="F9" s="59"/>
      <x:c r="G9" s="60"/>
      <x:c r="H9" s="60"/>
      <x:c r="I9" s="60" t="str">
        <x:f>IF(COUNTA(G9:H9)=0,"",SUM(G9:H9))</x:f>
      </x:c>
      <x:c r="J9" s="59" t="str">
        <x:f>IF(OR(F9="",F9=0),"",IFERROR(F9/D9,""))</x:f>
      </x:c>
      <x:c r="K9" s="10" t="str">
        <x:v>Terminal and multi-step agent tasks</x:v>
      </x:c>
      <x:c r="L9" s="10" t="str">
        <x:v>Useful alternate specific-model evidence for terminal-heavy work.</x:v>
      </x:c>
      <x:c r="M9" s="10" t="str">
        <x:v>Result is agent-specific.</x:v>
      </x:c>
      <x:c r="N9" s="71" t="str">
        <x:v>https://www.tbench.ai/leaderboard/terminal-bench/2.0</x:v>
      </x:c>
    </x:row>
    <x:row r="10" ht="76" customHeight="1">
      <x:c r="A10" s="70" t="str">
        <x:v>Terminal-Bench 2.0</x:v>
      </x:c>
      <x:c r="B10" s="10" t="str">
        <x:v>SageAgent + GPT-5.3-Codex</x:v>
      </x:c>
      <x:c r="C10" s="10" t="str">
        <x:v>Codex 5.3 Medium proxy</x:v>
      </x:c>
      <x:c r="D10" s="58" t="n">
        <x:v>78.4</x:v>
      </x:c>
      <x:c r="E10" s="10" t="str">
        <x:v>accuracy %</x:v>
      </x:c>
      <x:c r="F10" s="59"/>
      <x:c r="G10" s="60"/>
      <x:c r="H10" s="60"/>
      <x:c r="I10" s="60" t="str">
        <x:f>IF(COUNTA(G10:H10)=0,"",SUM(G10:H10))</x:f>
      </x:c>
      <x:c r="J10" s="59" t="str">
        <x:f>IF(OR(F10="",F10=0),"",IFERROR(F10/D10,""))</x:f>
      </x:c>
      <x:c r="K10" s="10" t="str">
        <x:v>Codex coding agent tasks</x:v>
      </x:c>
      <x:c r="L10" s="10" t="str">
        <x:v>Supports Codex 5.3 for substantial coding-agent work before jumping to GPT-5.5.</x:v>
      </x:c>
      <x:c r="M10" s="10" t="str">
        <x:v>Agent-specific leaderboard row.</x:v>
      </x:c>
      <x:c r="N10" s="71" t="str">
        <x:v>https://www.tbench.ai/leaderboard/terminal-bench/2.0</x:v>
      </x:c>
    </x:row>
    <x:row r="11" ht="76" customHeight="1">
      <x:c r="A11" s="70" t="str">
        <x:v>Composer 2 Technical Report</x:v>
      </x:c>
      <x:c r="B11" s="10" t="str">
        <x:v>Composer 2 on CursorBench</x:v>
      </x:c>
      <x:c r="C11" s="10" t="str">
        <x:v>Composer 2.5 Fast / Auto + Composer proxy</x:v>
      </x:c>
      <x:c r="D11" s="58" t="n">
        <x:v>61.3</x:v>
      </x:c>
      <x:c r="E11" s="10" t="str">
        <x:v>benchmark score</x:v>
      </x:c>
      <x:c r="F11" s="59"/>
      <x:c r="G11" s="60"/>
      <x:c r="H11" s="60"/>
      <x:c r="I11" s="60" t="str">
        <x:f>IF(COUNTA(G11:H11)=0,"",SUM(G11:H11))</x:f>
      </x:c>
      <x:c r="J11" s="59" t="str">
        <x:f>IF(OR(F11="",F11=0),"",IFERROR(F11/D11,""))</x:f>
      </x:c>
      <x:c r="K11" s="10" t="str">
        <x:v>Cursor-native agentic coding</x:v>
      </x:c>
      <x:c r="L11" s="10" t="str">
        <x:v>Supports Auto/Composer pool for everyday coding when lower cost and included usage matter.</x:v>
      </x:c>
      <x:c r="M11" s="10" t="str">
        <x:v>Composer 2 report, not Composer 2.5 exact score.</x:v>
      </x:c>
      <x:c r="N11" s="71" t="str">
        <x:v>https://arxiv.org/abs/2603.24477</x:v>
      </x:c>
    </x:row>
    <x:row r="12" ht="76" customHeight="1">
      <x:c r="A12" s="70" t="str">
        <x:v>Composer 2 Technical Report</x:v>
      </x:c>
      <x:c r="B12" s="10" t="str">
        <x:v>Composer 2 on Terminal-Bench</x:v>
      </x:c>
      <x:c r="C12" s="10" t="str">
        <x:v>Composer / Auto terminal proxy</x:v>
      </x:c>
      <x:c r="D12" s="58" t="n">
        <x:v>61.7</x:v>
      </x:c>
      <x:c r="E12" s="10" t="str">
        <x:v>benchmark score</x:v>
      </x:c>
      <x:c r="F12" s="59"/>
      <x:c r="G12" s="60"/>
      <x:c r="H12" s="60"/>
      <x:c r="I12" s="60" t="str">
        <x:f>IF(COUNTA(G12:H12)=0,"",SUM(G12:H12))</x:f>
      </x:c>
      <x:c r="J12" s="59" t="str">
        <x:f>IF(OR(F12="",F12=0),"",IFERROR(F12/D12,""))</x:f>
      </x:c>
      <x:c r="K12" s="10" t="str">
        <x:v>Cursor terminal-agent coding</x:v>
      </x:c>
      <x:c r="L12" s="10" t="str">
        <x:v>Composer-family models may be good enough for moderate terminal tasks before spending API-pool usage.</x:v>
      </x:c>
      <x:c r="M12" s="10" t="str">
        <x:v>Vendor harness result.</x:v>
      </x:c>
      <x:c r="N12" s="71" t="str">
        <x:v>https://arxiv.org/abs/2603.24477</x:v>
      </x:c>
    </x:row>
    <x:row r="13" ht="76" customHeight="1">
      <x:c r="A13" s="70" t="str">
        <x:v>Composer 2 Technical Report</x:v>
      </x:c>
      <x:c r="B13" s="10" t="str">
        <x:v>Composer 2 on SWE-bench Multilingual</x:v>
      </x:c>
      <x:c r="C13" s="10" t="str">
        <x:v>Composer / Auto multilingual repo proxy</x:v>
      </x:c>
      <x:c r="D13" s="58" t="n">
        <x:v>73.7</x:v>
      </x:c>
      <x:c r="E13" s="10" t="str">
        <x:v>benchmark score</x:v>
      </x:c>
      <x:c r="F13" s="59"/>
      <x:c r="G13" s="60"/>
      <x:c r="H13" s="60"/>
      <x:c r="I13" s="60" t="str">
        <x:f>IF(COUNTA(G13:H13)=0,"",SUM(G13:H13))</x:f>
      </x:c>
      <x:c r="J13" s="59" t="str">
        <x:f>IF(OR(F13="",F13=0),"",IFERROR(F13/D13,""))</x:f>
      </x:c>
      <x:c r="K13" s="10" t="str">
        <x:v>Repo issue work across languages</x:v>
      </x:c>
      <x:c r="L13" s="10" t="str">
        <x:v>Use as support for Cursor-native everyday issue repair when task risk is bounded.</x:v>
      </x:c>
      <x:c r="M13" s="10" t="str">
        <x:v>Vendor harness result.</x:v>
      </x:c>
      <x:c r="N13" s="71" t="str">
        <x:v>https://arxiv.org/abs/2603.24477</x:v>
      </x:c>
    </x:row>
    <x:row r="14" ht="76" customHeight="1">
      <x:c r="A14" s="70" t="str">
        <x:v>Aider Polyglot</x:v>
      </x:c>
      <x:c r="B14" s="10" t="str">
        <x:v>gpt-5 high</x:v>
      </x:c>
      <x:c r="C14" s="10" t="str">
        <x:v>High reasoning proxy for GPT-5.5/GPT-5.4</x:v>
      </x:c>
      <x:c r="D14" s="58" t="n">
        <x:v>88</x:v>
      </x:c>
      <x:c r="E14" s="10" t="str">
        <x:v>% correct</x:v>
      </x:c>
      <x:c r="F14" s="59" t="n">
        <x:v>29.0829</x:v>
      </x:c>
      <x:c r="G14" s="60" t="n">
        <x:v>2675561</x:v>
      </x:c>
      <x:c r="H14" s="60" t="n">
        <x:v>2623429</x:v>
      </x:c>
      <x:c r="I14" s="60" t="n">
        <x:f>IF(COUNTA(G14:H14)=0,"",SUM(G14:H14))</x:f>
        <x:v>5298990</x:v>
      </x:c>
      <x:c r="J14" s="59" t="n">
        <x:f>IF(OR(F14="",F14=0),"",IFERROR(F14/D14,""))</x:f>
        <x:v>0.3304875</x:v>
      </x:c>
      <x:c r="K14" s="10" t="str">
        <x:v>Complex multi-language code editing</x:v>
      </x:c>
      <x:c r="L14" s="10" t="str">
        <x:v>Highest GPT-5 reasoning row, but use only when the extra reliability is worth the added completion tokens and cost.</x:v>
      </x:c>
      <x:c r="M14" s="10" t="str">
        <x:v>GPT-5 result used as reasoning-tier proxy.</x:v>
      </x:c>
      <x:c r="N14" s="71" t="str">
        <x:v>https://aider.chat/docs/leaderboards/</x:v>
      </x:c>
    </x:row>
    <x:row r="15" ht="76" customHeight="1">
      <x:c r="A15" s="70" t="str">
        <x:v>Aider Polyglot</x:v>
      </x:c>
      <x:c r="B15" s="10" t="str">
        <x:v>gpt-5 medium</x:v>
      </x:c>
      <x:c r="C15" s="10" t="str">
        <x:v>Medium reasoning proxy for GPT-5.5/GPT-5.4</x:v>
      </x:c>
      <x:c r="D15" s="58" t="n">
        <x:v>86.7</x:v>
      </x:c>
      <x:c r="E15" s="10" t="str">
        <x:v>% correct</x:v>
      </x:c>
      <x:c r="F15" s="59" t="n">
        <x:v>17.693</x:v>
      </x:c>
      <x:c r="G15" s="60" t="n">
        <x:v>2827261</x:v>
      </x:c>
      <x:c r="H15" s="60" t="n">
        <x:v>1468799</x:v>
      </x:c>
      <x:c r="I15" s="60" t="n">
        <x:f>IF(COUNTA(G15:H15)=0,"",SUM(G15:H15))</x:f>
        <x:v>4296060</x:v>
      </x:c>
      <x:c r="J15" s="59" t="n">
        <x:f>IF(OR(F15="",F15=0),"",IFERROR(F15/D15,""))</x:f>
        <x:v>0.20407151095732412</x:v>
      </x:c>
      <x:c r="K15" s="10" t="str">
        <x:v>Scoped nontrivial code editing</x:v>
      </x:c>
      <x:c r="L15" s="10" t="str">
        <x:v>Only 1.3 points below high in this benchmark at materially lower reported cost and completion tokens.</x:v>
      </x:c>
      <x:c r="M15" s="10" t="str">
        <x:v>GPT-5 result used as reasoning-tier proxy.</x:v>
      </x:c>
      <x:c r="N15" s="71" t="str">
        <x:v>https://aider.chat/docs/leaderboards/</x:v>
      </x:c>
    </x:row>
    <x:row r="16" ht="76" customHeight="1">
      <x:c r="A16" s="70" t="str">
        <x:v>Aider Polyglot</x:v>
      </x:c>
      <x:c r="B16" s="10" t="str">
        <x:v>gpt-5 low</x:v>
      </x:c>
      <x:c r="C16" s="10" t="str">
        <x:v>Low reasoning proxy for Spark/Mini/low tiers</x:v>
      </x:c>
      <x:c r="D16" s="58" t="n">
        <x:v>81.3</x:v>
      </x:c>
      <x:c r="E16" s="10" t="str">
        <x:v>% correct</x:v>
      </x:c>
      <x:c r="F16" s="59" t="n">
        <x:v>10.3713</x:v>
      </x:c>
      <x:c r="G16" s="60" t="n">
        <x:v>2534059</x:v>
      </x:c>
      <x:c r="H16" s="60" t="n">
        <x:v>779568</x:v>
      </x:c>
      <x:c r="I16" s="60" t="n">
        <x:f>IF(COUNTA(G16:H16)=0,"",SUM(G16:H16))</x:f>
        <x:v>3313627</x:v>
      </x:c>
      <x:c r="J16" s="59" t="n">
        <x:f>IF(OR(F16="",F16=0),"",IFERROR(F16/D16,""))</x:f>
        <x:v>0.12756826568265683</x:v>
      </x:c>
      <x:c r="K16" s="10" t="str">
        <x:v>Cheap contained edits and tests</x:v>
      </x:c>
      <x:c r="L16" s="10" t="str">
        <x:v>Strong cost-control option for well-scoped work; escalate when tests fail or ambiguity rises.</x:v>
      </x:c>
      <x:c r="M16" s="10" t="str">
        <x:v>GPT-5 result used as reasoning-tier proxy.</x:v>
      </x:c>
      <x:c r="N16" s="71" t="str">
        <x:v>https://aider.chat/docs/leaderboards/</x:v>
      </x:c>
    </x:row>
    <x:row r="17" ht="76" customHeight="1">
      <x:c r="A17" s="70" t="str">
        <x:v>Aider Polyglot</x:v>
      </x:c>
      <x:c r="B17" s="10" t="str">
        <x:v>claude-opus-4-20250514 (32k thinking)</x:v>
      </x:c>
      <x:c r="C17" s="10" t="str">
        <x:v>Opus High / Extra High proxy</x:v>
      </x:c>
      <x:c r="D17" s="58" t="n">
        <x:v>72</x:v>
      </x:c>
      <x:c r="E17" s="10" t="str">
        <x:v>% correct</x:v>
      </x:c>
      <x:c r="F17" s="59" t="n">
        <x:v>65.7484</x:v>
      </x:c>
      <x:c r="G17" s="60" t="n">
        <x:v>2567514</x:v>
      </x:c>
      <x:c r="H17" s="60" t="n">
        <x:v>363142</x:v>
      </x:c>
      <x:c r="I17" s="60" t="n">
        <x:f>IF(COUNTA(G17:H17)=0,"",SUM(G17:H17))</x:f>
        <x:v>2930656</x:v>
      </x:c>
      <x:c r="J17" s="59" t="n">
        <x:f>IF(OR(F17="",F17=0),"",IFERROR(F17/D17,""))</x:f>
        <x:v>0.9131722222222223</x:v>
      </x:c>
      <x:c r="K17" s="10" t="str">
        <x:v>Difficult review/design/code tasks</x:v>
      </x:c>
      <x:c r="L17" s="10" t="str">
        <x:v>High reported cost means use top Opus tiers only when current criteria clearly justify them.</x:v>
      </x:c>
      <x:c r="M17" s="10" t="str">
        <x:v>Older Opus 4 proxy, not Opus 4.7/4.8 exact.</x:v>
      </x:c>
      <x:c r="N17" s="71" t="str">
        <x:v>https://aider.chat/docs/leaderboards/</x:v>
      </x:c>
    </x:row>
    <x:row r="18" ht="76" customHeight="1">
      <x:c r="A18" s="70" t="str">
        <x:v>Aider Polyglot</x:v>
      </x:c>
      <x:c r="B18" s="10" t="str">
        <x:v>claude-sonnet-4-20250514 (32k thinking)</x:v>
      </x:c>
      <x:c r="C18" s="10" t="str">
        <x:v>Sonnet Medium visual/UI proxy</x:v>
      </x:c>
      <x:c r="D18" s="58" t="n">
        <x:v>61.3</x:v>
      </x:c>
      <x:c r="E18" s="10" t="str">
        <x:v>% correct</x:v>
      </x:c>
      <x:c r="F18" s="59" t="n">
        <x:v>26.5755</x:v>
      </x:c>
      <x:c r="G18" s="60" t="n">
        <x:v>2863068</x:v>
      </x:c>
      <x:c r="H18" s="60" t="n">
        <x:v>1271074</x:v>
      </x:c>
      <x:c r="I18" s="60" t="n">
        <x:f>IF(COUNTA(G18:H18)=0,"",SUM(G18:H18))</x:f>
        <x:v>4134142</x:v>
      </x:c>
      <x:c r="J18" s="59" t="n">
        <x:f>IF(OR(F18="",F18=0),"",IFERROR(F18/D18,""))</x:f>
        <x:v>0.4335318107667211</x:v>
      </x:c>
      <x:c r="K18" s="10" t="str">
        <x:v>UI/layout and implementation with visual reasoning</x:v>
      </x:c>
      <x:c r="L18" s="10" t="str">
        <x:v>Use Sonnet for UI fit, not because this coding-only score is top-ranked.</x:v>
      </x:c>
      <x:c r="M18" s="10" t="str">
        <x:v>Older Sonnet 4 proxy, not Sonnet 4.6 exact.</x:v>
      </x:c>
      <x:c r="N18" s="71" t="str">
        <x:v>https://aider.chat/docs/leaderboards/</x:v>
      </x:c>
    </x:row>
    <x:row r="19" ht="76" customHeight="1">
      <x:c r="A19" s="70" t="str">
        <x:v>SWE-bench Pro</x:v>
      </x:c>
      <x:c r="B19" s="10" t="str">
        <x:v>GPT-5 under unified scaffold</x:v>
      </x:c>
      <x:c r="C19" s="10" t="str">
        <x:v>GPT-5.5/GPT-5.4 High proxy</x:v>
      </x:c>
      <x:c r="D19" s="58" t="n">
        <x:v>23.3</x:v>
      </x:c>
      <x:c r="E19" s="10" t="str">
        <x:v>Pass@1 %</x:v>
      </x:c>
      <x:c r="F19" s="59"/>
      <x:c r="G19" s="60"/>
      <x:c r="H19" s="60"/>
      <x:c r="I19" s="60" t="str">
        <x:f>IF(COUNTA(G19:H19)=0,"",SUM(G19:H19))</x:f>
      </x:c>
      <x:c r="J19" s="59" t="str">
        <x:f>IF(OR(F19="",F19=0),"",IFERROR(F19/D19,""))</x:f>
      </x:c>
      <x:c r="K19" s="10" t="str">
        <x:v>Long-horizon enterprise software tasks</x:v>
      </x:c>
      <x:c r="L19" s="10" t="str">
        <x:v>Even top models are low-success; choose stronger tiers only with decomposition and verification.</x:v>
      </x:c>
      <x:c r="M19" s="10" t="str">
        <x:v>Paper result; exact Cursor model availability differs.</x:v>
      </x:c>
      <x:c r="N19" s="71" t="str">
        <x:v>https://arxiv.org/abs/2509.16941</x:v>
      </x:c>
    </x:row>
    <x:row r="20" ht="76" customHeight="1">
      <x:c r="A20" s="70" t="str">
        <x:v>BigCodeBench</x:v>
      </x:c>
      <x:c r="B20" s="10" t="str">
        <x:v>Best evaluated LLMs</x:v>
      </x:c>
      <x:c r="C20" s="10" t="str">
        <x:v>Library/API coding proxy</x:v>
      </x:c>
      <x:c r="D20" s="58" t="n">
        <x:v>60</x:v>
      </x:c>
      <x:c r="E20" s="10" t="str">
        <x:v>best-model score %</x:v>
      </x:c>
      <x:c r="F20" s="59"/>
      <x:c r="G20" s="60"/>
      <x:c r="H20" s="60"/>
      <x:c r="I20" s="60" t="str">
        <x:f>IF(COUNTA(G20:H20)=0,"",SUM(G20:H20))</x:f>
      </x:c>
      <x:c r="J20" s="59" t="str">
        <x:f>IF(OR(F20="",F20=0),"",IFERROR(F20/D20,""))</x:f>
      </x:c>
      <x:c r="K20" s="10" t="str">
        <x:v>Python/library/tool-use code generation</x:v>
      </x:c>
      <x:c r="L20" s="10" t="str">
        <x:v>Use stronger coding models for unfamiliar APIs or complex instruction following.</x:v>
      </x:c>
      <x:c r="M20" s="10" t="str">
        <x:v>Paper rounded as up to 60%.</x:v>
      </x:c>
      <x:c r="N20" s="71" t="str">
        <x:v>https://arxiv.org/abs/2406.15877</x:v>
      </x:c>
    </x:row>
    <x:row r="21" ht="76" customHeight="1">
      <x:c r="A21" s="70" t="str">
        <x:v>BigCodeBench</x:v>
      </x:c>
      <x:c r="B21" s="10" t="str">
        <x:v>Human performance</x:v>
      </x:c>
      <x:c r="C21" s="10" t="str">
        <x:v>Human reference</x:v>
      </x:c>
      <x:c r="D21" s="58" t="n">
        <x:v>97</x:v>
      </x:c>
      <x:c r="E21" s="10" t="str">
        <x:v>human score %</x:v>
      </x:c>
      <x:c r="F21" s="59"/>
      <x:c r="G21" s="60"/>
      <x:c r="H21" s="60"/>
      <x:c r="I21" s="60" t="str">
        <x:f>IF(COUNTA(G21:H21)=0,"",SUM(G21:H21))</x:f>
      </x:c>
      <x:c r="J21" s="59" t="str">
        <x:f>IF(OR(F21="",F21=0),"",IFERROR(F21/D21,""))</x:f>
      </x:c>
      <x:c r="K21" s="10" t="str">
        <x:v>Calibration reference</x:v>
      </x:c>
      <x:c r="L21" s="10" t="str">
        <x:v>Large gap vs LLMs means tests/docs are still essential for API-heavy code.</x:v>
      </x:c>
      <x:c r="M21" s="10" t="str">
        <x:v>Reference row, not model recommendation.</x:v>
      </x:c>
      <x:c r="N21" s="71" t="str">
        <x:v>https://arxiv.org/abs/2406.15877</x:v>
      </x:c>
    </x:row>
    <x:row r="22" ht="76" customHeight="1">
      <x:c r="A22" s="70" t="str">
        <x:v>SWE-Bench Mobile</x:v>
      </x:c>
      <x:c r="B22" s="10" t="str">
        <x:v>Best agent-model configurations</x:v>
      </x:c>
      <x:c r="C22" s="10" t="str">
        <x:v>Apple/mobile implementation risk proxy</x:v>
      </x:c>
      <x:c r="D22" s="58" t="n">
        <x:v>12</x:v>
      </x:c>
      <x:c r="E22" s="10" t="str">
        <x:v>task success %</x:v>
      </x:c>
      <x:c r="F22" s="59"/>
      <x:c r="G22" s="60"/>
      <x:c r="H22" s="60"/>
      <x:c r="I22" s="60" t="str">
        <x:f>IF(COUNTA(G22:H22)=0,"",SUM(G22:H22))</x:f>
      </x:c>
      <x:c r="J22" s="59" t="str">
        <x:f>IF(OR(F22="",F22=0),"",IFERROR(F22/D22,""))</x:f>
      </x:c>
      <x:c r="K22" s="10" t="str">
        <x:v>iOS/macOS/iPadOS implementation and UI tasks</x:v>
      </x:c>
      <x:c r="L22" s="10" t="str">
        <x:v>For Apple-platform work, model choice must be paired with Xcode/simulator/visual verification.</x:v>
      </x:c>
      <x:c r="M22" s="10" t="str">
        <x:v>Best configuration success, not a specific model score.</x:v>
      </x:c>
      <x:c r="N22" s="71" t="str">
        <x:v>https://arxiv.org/abs/2602.09540</x:v>
      </x:c>
    </x:row>
    <x:row r="23" ht="76" customHeight="1">
      <x:c r="A23" s="70" t="str">
        <x:v>SpecBench</x:v>
      </x:c>
      <x:c r="B23" s="10" t="str">
        <x:v>Best performing agent GPT-5.4</x:v>
      </x:c>
      <x:c r="C23" s="10" t="str">
        <x:v>GPT-5.4 Medium/High proxy</x:v>
      </x:c>
      <x:c r="D23" s="58" t="n">
        <x:v>44.4</x:v>
      </x:c>
      <x:c r="E23" s="10" t="str">
        <x:v>accuracy %</x:v>
      </x:c>
      <x:c r="F23" s="59"/>
      <x:c r="G23" s="60"/>
      <x:c r="H23" s="60"/>
      <x:c r="I23" s="60" t="str">
        <x:f>IF(COUNTA(G23:H23)=0,"",SUM(G23:H23))</x:f>
      </x:c>
      <x:c r="J23" s="59" t="str">
        <x:f>IF(OR(F23="",F23=0),"",IFERROR(F23/D23,""))</x:f>
      </x:c>
      <x:c r="K23" s="10" t="str">
        <x:v>Specification and architecture critique</x:v>
      </x:c>
      <x:c r="L23" s="10" t="str">
        <x:v>Use stronger reasoning for ambiguous requirements before implementation.</x:v>
      </x:c>
      <x:c r="M23" s="10" t="str">
        <x:v>Spec critique benchmark, not patch-writing.</x:v>
      </x:c>
      <x:c r="N23" s="71" t="str">
        <x:v>https://arxiv.org/abs/2605.30314</x:v>
      </x:c>
    </x:row>
    <x:row r="24" ht="76" customHeight="1">
      <x:c r="A24" s="70" t="str">
        <x:v>SWE-Skills-Bench</x:v>
      </x:c>
      <x:c r="B24" s="10" t="str">
        <x:v>Average skill injection gain</x:v>
      </x:c>
      <x:c r="C24" s="10" t="str">
        <x:v>Plugin/skill selection signal</x:v>
      </x:c>
      <x:c r="D24" s="58" t="n">
        <x:v>1.2</x:v>
      </x:c>
      <x:c r="E24" s="10" t="str">
        <x:v>average pass-rate lift pp</x:v>
      </x:c>
      <x:c r="F24" s="59"/>
      <x:c r="G24" s="60"/>
      <x:c r="H24" s="60"/>
      <x:c r="I24" s="60" t="str">
        <x:f>IF(COUNTA(G24:H24)=0,"",SUM(G24:H24))</x:f>
      </x:c>
      <x:c r="J24" s="59" t="str">
        <x:f>IF(OR(F24="",F24=0),"",IFERROR(F24/D24,""))</x:f>
      </x:c>
      <x:c r="K24" s="10" t="str">
        <x:v>Plugin/skill recommendation discipline</x:v>
      </x:c>
      <x:c r="L24" s="10" t="str">
        <x:v>Default to no plugin/skill unless domain fit is exact and material.</x:v>
      </x:c>
      <x:c r="M24" s="10" t="str">
        <x:v>Average hides a few strong positive specialized skills.</x:v>
      </x:c>
      <x:c r="N24" s="71" t="str">
        <x:v>https://arxiv.org/abs/2603.15401</x:v>
      </x:c>
    </x:row>
    <x:row r="25" ht="76" customHeight="1">
      <x:c r="A25" s="72" t="str">
        <x:v>SWE-Skills-Bench</x:v>
      </x:c>
      <x:c r="B25" s="73" t="str">
        <x:v>Maximum observed token overhead</x:v>
      </x:c>
      <x:c r="C25" s="73" t="str">
        <x:v>Plugin/skill token overhead signal</x:v>
      </x:c>
      <x:c r="D25" s="74" t="n">
        <x:v>451</x:v>
      </x:c>
      <x:c r="E25" s="73" t="str">
        <x:v>token overhead %</x:v>
      </x:c>
      <x:c r="F25" s="75"/>
      <x:c r="G25" s="76"/>
      <x:c r="H25" s="76"/>
      <x:c r="I25" s="76" t="str">
        <x:f>IF(COUNTA(G25:H25)=0,"",SUM(G25:H25))</x:f>
      </x:c>
      <x:c r="J25" s="75" t="str">
        <x:f>IF(OR(F25="",F25=0),"",IFERROR(F25/D25,""))</x:f>
      </x:c>
      <x:c r="K25" s="73" t="str">
        <x:v>Plugin/skill recommendation discipline</x:v>
      </x:c>
      <x:c r="L25" s="73" t="str">
        <x:v>Avoid speculative skills because they can consume many extra tokens with no pass-rate gain.</x:v>
      </x:c>
      <x:c r="M25" s="73" t="str">
        <x:v>Worst-case reported overhead.</x:v>
      </x:c>
      <x:c r="N25" s="77" t="str">
        <x:v>https://arxiv.org/abs/2603.15401</x:v>
      </x:c>
    </x:row>
  </x:sheetData>
  <x:mergeCells>
    <x:mergeCell ref="A1:N1"/>
    <x:mergeCell ref="A2:N2"/>
  </x:mergeCells>
  <x:conditionalFormatting sqref="D6:J25">
    <x:cfRule type="colorScale" priority="1">
      <x:colorScale>
        <x:cfvo type="min"/>
        <x:cfvo type="percentile" val="50"/>
        <x:cfvo type="max"/>
        <x:color rgb="FFECFEFF"/>
        <x:color rgb="FFFEF9C3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d8ceacebf0a47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6" hidden="0" customWidth="1"/>
    <x:col min="3" max="3" width="46" hidden="0" customWidth="1"/>
    <x:col min="4" max="4" width="58" hidden="0" customWidth="1"/>
    <x:col min="5" max="5" width="48" hidden="0" customWidth="1"/>
    <x:col min="6" max="6" width="48" hidden="0" customWidth="1"/>
  </x:cols>
  <x:sheetData>
    <x:row r="1" ht="28" customHeight="1">
      <x:c r="A1" s="85" t="str">
        <x:v>Task Fit Matrix</x:v>
      </x:c>
      <x:c r="B1" s="86"/>
      <x:c r="C1" s="86"/>
      <x:c r="D1" s="86"/>
      <x:c r="E1" s="86"/>
      <x:c r="F1" s="87"/>
    </x:row>
    <x:row r="2" ht="46" customHeight="1">
      <x:c r="A2" s="88" t="str">
        <x:v>Start from task profile, then select the least expensive model likely to succeed. Escalate only when benchmark evidence, task risk, ambiguity, or verification weakness justify the added token/API usage.</x:v>
      </x:c>
      <x:c r="B2" s="79"/>
      <x:c r="C2" s="79"/>
      <x:c r="D2" s="79"/>
      <x:c r="E2" s="79"/>
      <x:c r="F2" s="89"/>
    </x:row>
    <x:row r="3">
      <x:c r="A3" s="90"/>
      <x:c r="B3" s="17"/>
      <x:c r="C3" s="17"/>
      <x:c r="D3" s="17"/>
      <x:c r="E3" s="17"/>
      <x:c r="F3" s="91"/>
    </x:row>
    <x:row r="4">
      <x:c r="A4" s="90"/>
      <x:c r="B4" s="17"/>
      <x:c r="C4" s="17"/>
      <x:c r="D4" s="17"/>
      <x:c r="E4" s="17"/>
      <x:c r="F4" s="91"/>
    </x:row>
    <x:row r="5" ht="36" customHeight="1">
      <x:c r="A5" s="92" t="str">
        <x:v>Task Profile</x:v>
      </x:c>
      <x:c r="B5" s="84" t="str">
        <x:v>Benchmark Evidence To Check</x:v>
      </x:c>
      <x:c r="C5" s="84" t="str">
        <x:v>Primary Capability Signal</x:v>
      </x:c>
      <x:c r="D5" s="84" t="str">
        <x:v>Default Recommendation Pattern</x:v>
      </x:c>
      <x:c r="E5" s="84" t="str">
        <x:v>Escalate When</x:v>
      </x:c>
      <x:c r="F5" s="93" t="str">
        <x:v>Token / Usage Control</x:v>
      </x:c>
    </x:row>
    <x:row r="6" ht="80" customHeight="1">
      <x:c r="A6" s="94" t="str">
        <x:v>Trivial single-file edit, copy change, formatting</x:v>
      </x:c>
      <x:c r="B6" s="10" t="str">
        <x:v>Aider low reasoning + Model Rates</x:v>
      </x:c>
      <x:c r="C6" s="10" t="str">
        <x:v>Low reasoning can still solve many scoped edits.</x:v>
      </x:c>
      <x:c r="D6" s="10" t="str">
        <x:v>Cursor Auto, Composer 2.5 Fast, GPT-5.3-Codex-Spark Low, or GPT-5.4 Mini Low.</x:v>
      </x:c>
      <x:c r="E6" s="10" t="str">
        <x:v>Only escalate if the file is risky, tests repeatedly fail, or hidden coupling appears.</x:v>
      </x:c>
      <x:c r="F6" s="95" t="str">
        <x:v>Keep MAX off; avoid broad repo reads; preserve existing changes.</x:v>
      </x:c>
    </x:row>
    <x:row r="7" ht="80" customHeight="1">
      <x:c r="A7" s="94" t="str">
        <x:v>Contained coding task with tests</x:v>
      </x:c>
      <x:c r="B7" s="10" t="str">
        <x:v>Aider Polyglot, SWE-bench Verified</x:v>
      </x:c>
      <x:c r="C7" s="10" t="str">
        <x:v>Need reliable code editing but scope is bounded.</x:v>
      </x:c>
      <x:c r="D7" s="10" t="str">
        <x:v>Auto when exact model is not important; Codex 5.3 Medium or GPT-5.4 Mini Medium when predictability matters.</x:v>
      </x:c>
      <x:c r="E7" s="10" t="str">
        <x:v>Escalate to GPT-5.4 Medium/High if failures reveal unclear behavior or multi-module coupling.</x:v>
      </x:c>
      <x:c r="F7" s="95" t="str">
        <x:v>Use targeted search and run focused tests; summarize logs.</x:v>
      </x:c>
    </x:row>
    <x:row r="8" ht="80" customHeight="1">
      <x:c r="A8" s="94" t="str">
        <x:v>Moderate multi-file implementation or refactor</x:v>
      </x:c>
      <x:c r="B8" s="10" t="str">
        <x:v>SWE-bench Verified / Multilingual, Aider medium</x:v>
      </x:c>
      <x:c r="C8" s="10" t="str">
        <x:v>Repository issue resolution and cross-file consistency.</x:v>
      </x:c>
      <x:c r="D8" s="10" t="str">
        <x:v>GPT-5.4 Medium or Codex 5.3 Medium before GPT-5.5.</x:v>
      </x:c>
      <x:c r="E8" s="10" t="str">
        <x:v>Escalate when root cause is unclear, changes touch shared contracts, or test surface is broad.</x:v>
      </x:c>
      <x:c r="F8" s="95" t="str">
        <x:v>Keep MAX off unless relevant context cannot be localized.</x:v>
      </x:c>
    </x:row>
    <x:row r="9" ht="80" customHeight="1">
      <x:c r="A9" s="94" t="str">
        <x:v>Terminal-heavy build, CI, deployment, or system debugging</x:v>
      </x:c>
      <x:c r="B9" s="10" t="str">
        <x:v>Terminal-Bench 2.0</x:v>
      </x:c>
      <x:c r="C9" s="10" t="str">
        <x:v>Command execution, environment diagnosis, and long log interpretation.</x:v>
      </x:c>
      <x:c r="D9" s="10" t="str">
        <x:v>Codex 5.3 Medium/High or GPT-5.5 High for high-risk production/debugging; cheaper models for simple commands.</x:v>
      </x:c>
      <x:c r="E9" s="10" t="str">
        <x:v>Escalate when failures are nondeterministic, deployment-affecting, or security-sensitive.</x:v>
      </x:c>
      <x:c r="F9" s="95" t="str">
        <x:v>Cap logs, quote only key lines, and avoid live/credit-consuming requests without approval.</x:v>
      </x:c>
    </x:row>
    <x:row r="10" ht="80" customHeight="1">
      <x:c r="A10" s="94" t="str">
        <x:v>Live API, security, auth, secrets, or production deployment</x:v>
      </x:c>
      <x:c r="B10" s="10" t="str">
        <x:v>Terminal-Bench 2.0, SWE-Lancer, SWE-bench Pro</x:v>
      </x:c>
      <x:c r="C10" s="10" t="str">
        <x:v>High consequence and multi-system coordination.</x:v>
      </x:c>
      <x:c r="D10" s="10" t="str">
        <x:v>GPT-5.5 High; Extra High only for broad unresolved root-cause or migration work.</x:v>
      </x:c>
      <x:c r="E10" s="10" t="str">
        <x:v>Escalation is justified by production risk, not just task size.</x:v>
      </x:c>
      <x:c r="F10" s="95" t="str">
        <x:v>Never print secrets or raw env dumps; require approval for live requests.</x:v>
      </x:c>
    </x:row>
    <x:row r="11" ht="80" customHeight="1">
      <x:c r="A11" s="94" t="str">
        <x:v>Architecture, persistence, migrations, broad planning, or proposal selection</x:v>
      </x:c>
      <x:c r="B11" s="10" t="str">
        <x:v>SWE-bench Pro, SWE-Lancer, SpecBench</x:v>
      </x:c>
      <x:c r="C11" s="10" t="str">
        <x:v>Long-horizon reasoning and requirement critique.</x:v>
      </x:c>
      <x:c r="D11" s="10" t="str">
        <x:v>GPT-5.4 High or GPT-5.5 High; Opus High/Extra High only for difficult design/review where current criteria justify it.</x:v>
      </x:c>
      <x:c r="E11" s="10" t="str">
        <x:v>Escalate when requirements are ambiguous, irreversible, or cross-system.</x:v>
      </x:c>
      <x:c r="F11" s="95" t="str">
        <x:v>Split the work into phases to reduce token waste and verification risk.</x:v>
      </x:c>
    </x:row>
    <x:row r="12" ht="80" customHeight="1">
      <x:c r="A12" s="94" t="str">
        <x:v>UI, SwiftUI, Apple-platform, or mobile app work</x:v>
      </x:c>
      <x:c r="B12" s="10" t="str">
        <x:v>SWE-Bench Mobile plus visual verification; generic coding benchmarks are weak proxies.</x:v>
      </x:c>
      <x:c r="C12" s="10" t="str">
        <x:v>Agent/workflow and verification matter as much as model strength.</x:v>
      </x:c>
      <x:c r="D12" s="10" t="str">
        <x:v>Sonnet 4.6 Medium for visual/UI judgment, GPT-5.4 Medium for implementation, Xcode for diagnostics.</x:v>
      </x:c>
      <x:c r="E12" s="10" t="str">
        <x:v>Escalate when UI changes span architecture, state, persistence, or repeated visual failures.</x:v>
      </x:c>
      <x:c r="F12" s="95" t="str">
        <x:v>Use iOS/macOS/Xcode skills and screenshots/previews instead of MAX by default.</x:v>
      </x:c>
    </x:row>
    <x:row r="13" ht="80" customHeight="1">
      <x:c r="A13" s="94" t="str">
        <x:v>Python, data scripts, API/library integration</x:v>
      </x:c>
      <x:c r="B13" s="10" t="str">
        <x:v>BigCodeBench, Aider Polyglot</x:v>
      </x:c>
      <x:c r="C13" s="10" t="str">
        <x:v>Precise library use and instruction following.</x:v>
      </x:c>
      <x:c r="D13" s="10" t="str">
        <x:v>GPT-5.4 Mini Medium/High or GPT-5.4 Medium depending on API unfamiliarity.</x:v>
      </x:c>
      <x:c r="E13" s="10" t="str">
        <x:v>Escalate if docs are ambiguous, external systems are involved, or test oracle is weak.</x:v>
      </x:c>
      <x:c r="F13" s="95" t="str">
        <x:v>Prefer official docs and focused unit tests over larger context.</x:v>
      </x:c>
    </x:row>
    <x:row r="14" ht="80" customHeight="1">
      <x:c r="A14" s="94" t="str">
        <x:v>Plugin or skill recommendation inside generated prompts</x:v>
      </x:c>
      <x:c r="B14" s="10" t="str">
        <x:v>SWE-Skills-Bench</x:v>
      </x:c>
      <x:c r="C14" s="10" t="str">
        <x:v>Skills are useful only when matched tightly to task/domain.</x:v>
      </x:c>
      <x:c r="D14" s="10" t="str">
        <x:v>Recommend None by default; add exact skills/plugins only when they materially improve verification or domain fit.</x:v>
      </x:c>
      <x:c r="E14" s="10" t="str">
        <x:v>Escalate skill/plugin use when a known project or workflow-specific skill reduces risk.</x:v>
      </x:c>
      <x:c r="F14" s="95" t="str">
        <x:v>Avoid speculative plugins/skills because they add token overhead.</x:v>
      </x:c>
    </x:row>
    <x:row r="15" ht="80" customHeight="1">
      <x:c r="A15" s="96" t="str">
        <x:v>Large-repo localization or uncertain relevant files</x:v>
      </x:c>
      <x:c r="B15" s="97" t="str">
        <x:v>CORE-Bench, SWE-bench family</x:v>
      </x:c>
      <x:c r="C15" s="97" t="str">
        <x:v>Context retrieval and issue-to-edit localization.</x:v>
      </x:c>
      <x:c r="D15" s="97" t="str">
        <x:v>Use repo search and targeted reads first; consider MAX only after localization fails or task requires repository-wide reasoning.</x:v>
      </x:c>
      <x:c r="E15" s="97" t="str">
        <x:v>Escalate when many modules could be relevant and missing context would cause wrong edits.</x:v>
      </x:c>
      <x:c r="F15" s="98" t="str">
        <x:v>Narrow context beats larger context when it preserves correctness.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fcce2f9f1fc44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56" hidden="0" customWidth="1"/>
    <x:col min="4" max="4" width="66" hidden="0" customWidth="1"/>
  </x:cols>
  <x:sheetData>
    <x:row r="1" ht="15" hidden="0" customHeight="1">
      <x:c r="A1" s="120" t="str">
        <x:v>Sources and Build Notes</x:v>
      </x:c>
      <x:c r="B1" s="121"/>
      <x:c r="C1" s="121"/>
      <x:c r="D1" s="122"/>
    </x:row>
    <x:row r="2" ht="15" hidden="0" customHeight="1">
      <x:c r="A2" s="123"/>
      <x:c r="B2" s="17"/>
      <x:c r="C2" s="17"/>
      <x:c r="D2" s="124"/>
    </x:row>
    <x:row r="3" ht="15" hidden="0" customHeight="1">
      <x:c r="A3" s="125" t="str">
        <x:v>Source</x:v>
      </x:c>
      <x:c r="B3" s="10" t="str">
        <x:v>https://cursor.com/docs/models-and-pricing</x:v>
      </x:c>
      <x:c r="C3" s="10" t="str">
        <x:v>Cursor Models &amp; Pricing docs</x:v>
      </x:c>
      <x:c r="D3" s="126" t="str">
        <x:v>Explore all frontier coding models, usage pools, plan pricing, and per-model API rates.</x:v>
      </x:c>
    </x:row>
    <x:row r="4" ht="15" hidden="0" customHeight="1">
      <x:c r="A4" s="125" t="str">
        <x:v>Data extraction</x:v>
      </x:c>
      <x:c r="B4" s="10" t="str">
        <x:v>Cursor docs Next.js model metadata</x:v>
      </x:c>
      <x:c r="C4" s="10" t="str">
        <x:v>Parsed locally from the docs page bundle fetched during this session.</x:v>
      </x:c>
      <x:c r="D4" s="126" t="str">
        <x:v>The workbook preserves visible and hidden metadata rows separately.</x:v>
      </x:c>
    </x:row>
    <x:row r="5" ht="15" hidden="0" customHeight="1">
      <x:c r="A5" s="125" t="str">
        <x:v>Sorting</x:v>
      </x:c>
      <x:c r="B5" s="10" t="str">
        <x:v>Estimated Blended $/1M descending</x:v>
      </x:c>
      <x:c r="C5" s="10" t="str">
        <x:v>Calculated from editable assumptions.</x:v>
      </x:c>
      <x:c r="D5" s="126" t="str">
        <x:v>Change Assumptions!B5:B11 to adapt the estimate.</x:v>
      </x:c>
    </x:row>
    <x:row r="6" ht="15" hidden="0" customHeight="1">
      <x:c r="A6" s="125" t="str">
        <x:v>Simple Total $/1M</x:v>
      </x:c>
      <x:c r="B6" s="10" t="str">
        <x:v>SUM(Input, Cache Write, Cache Read, Output)</x:v>
      </x:c>
      <x:c r="C6" s="10" t="str">
        <x:v>A raw sum of published rate columns.</x:v>
      </x:c>
      <x:c r="D6" s="126" t="str">
        <x:v>This is not a real bill by itself because workloads mix token types unevenly.</x:v>
      </x:c>
    </x:row>
    <x:row r="7" ht="15" hidden="0" customHeight="1">
      <x:c r="A7" s="125" t="str">
        <x:v>Estimated Blended $/1M</x:v>
      </x:c>
      <x:c r="B7" s="10" t="str">
        <x:v>Weighted formula</x:v>
      </x:c>
      <x:c r="C7" s="10" t="str">
        <x:v>Uses shares for uncached input, cache write, cache read, and output.</x:v>
      </x:c>
      <x:c r="D7" s="126" t="str">
        <x:v>Designed as a practical cost-comparison sort key.</x:v>
      </x:c>
    </x:row>
    <x:row r="8" ht="15" hidden="0" customHeight="1">
      <x:c r="A8" s="125" t="str">
        <x:v>Teams note</x:v>
      </x:c>
      <x:c r="B8" s="10" t="str">
        <x:v>Cursor Token Rate</x:v>
      </x:c>
      <x:c r="C8" s="10" t="str">
        <x:v>Set Assumptions!B11 to 1 to include the Teams non-Auto surcharge.</x:v>
      </x:c>
      <x:c r="D8" s="126" t="str">
        <x:v>Default is off.</x:v>
      </x:c>
    </x:row>
    <x:row r="9" ht="15" hidden="0" customHeight="1">
      <x:c r="A9" s="125" t="str">
        <x:v>Max Mode note</x:v>
      </x:c>
      <x:c r="B9" s="10" t="str">
        <x:v>Max / long-context rows</x:v>
      </x:c>
      <x:c r="C9" s="10" t="str">
        <x:v>Rows are included where Cursor publishes different long-context rates.</x:v>
      </x:c>
      <x:c r="D9" s="126" t="str">
        <x:v>Actual Max Mode availability and pricing may vary by plan.</x:v>
      </x:c>
    </x:row>
    <x:row r="10" ht="15" hidden="0" customHeight="1">
      <x:c r="A10" s="125" t="str">
        <x:v>Caveat</x:v>
      </x:c>
      <x:c r="B10" s="10" t="str">
        <x:v>Rates change frequently</x:v>
      </x:c>
      <x:c r="C10" s="10" t="str">
        <x:v>Refresh from Cursor docs before making a billing commitment.</x:v>
      </x:c>
      <x:c r="D10" s="126" t="str">
        <x:v>This workbook is current as of the date shown in Assumptions.</x:v>
      </x:c>
    </x:row>
    <x:row r="11" ht="26.399999618530273" hidden="0" customHeight="1">
      <x:c r="A11" s="125" t="str">
        <x:v>Benchmark usage</x:v>
      </x:c>
      <x:c r="B11" s="10" t="str">
        <x:v>Benchmark Guide / Benchmark Signals / Task Fit Matrix</x:v>
      </x:c>
      <x:c r="C11" s="10" t="str">
        <x:v>Use benchmark evidence as a task-fit and escalation signal, not a ranking override.</x:v>
      </x:c>
      <x:c r="D11" s="126" t="str">
        <x:v>Always combine benchmark evidence with Model Rates, task risk, verification strength, and project guidance.</x:v>
      </x:c>
    </x:row>
    <x:row r="12" ht="26.399999618530273" hidden="0" customHeight="1">
      <x:c r="A12" s="125" t="str">
        <x:v>CursorBench / Composer 2</x:v>
      </x:c>
      <x:c r="B12" s="10" t="str">
        <x:v>https://arxiv.org/abs/2603.24477</x:v>
      </x:c>
      <x:c r="C12" s="10" t="str">
        <x:v>CursorBench, Terminal-Bench, and SWE-bench Multilingual Composer 2 reported scores.</x:v>
      </x:c>
      <x:c r="D12" s="126" t="str">
        <x:v>Used as Cursor-native agentic coding evidence.</x:v>
      </x:c>
    </x:row>
    <x:row r="13" ht="15" hidden="0" customHeight="1">
      <x:c r="A13" s="125" t="str">
        <x:v>Aider Polyglot</x:v>
      </x:c>
      <x:c r="B13" s="10" t="str">
        <x:v>https://aider.chat/docs/leaderboards/</x:v>
      </x:c>
      <x:c r="C13" s="10" t="str">
        <x:v>Leaderboard with score, cost, prompt tokens, and completion tokens.</x:v>
      </x:c>
      <x:c r="D13" s="126" t="str">
        <x:v>Used for reasoning-level cost/reliability tradeoffs.</x:v>
      </x:c>
    </x:row>
    <x:row r="14" ht="15" hidden="0" customHeight="1">
      <x:c r="A14" s="125" t="str">
        <x:v>SWE-bench</x:v>
      </x:c>
      <x:c r="B14" s="10" t="str">
        <x:v>https://www.swebench.com/</x:v>
      </x:c>
      <x:c r="C14" s="10" t="str">
        <x:v>Official SWE-bench family overview and leaderboard.</x:v>
      </x:c>
      <x:c r="D14" s="126" t="str">
        <x:v>Used for existing-repo issue-resolution task fit.</x:v>
      </x:c>
    </x:row>
    <x:row r="15" ht="15" hidden="0" customHeight="1">
      <x:c r="A15" s="125" t="str">
        <x:v>SWE-bench Pro</x:v>
      </x:c>
      <x:c r="B15" s="10" t="str">
        <x:v>https://arxiv.org/abs/2509.16941</x:v>
      </x:c>
      <x:c r="C15" s="10" t="str">
        <x:v>Long-horizon enterprise software engineering benchmark.</x:v>
      </x:c>
      <x:c r="D15" s="126" t="str">
        <x:v>Used for broad architecture and multi-system escalation signals.</x:v>
      </x:c>
    </x:row>
    <x:row r="16" ht="15" hidden="0" customHeight="1">
      <x:c r="A16" s="125" t="str">
        <x:v>Terminal-Bench 2.0</x:v>
      </x:c>
      <x:c r="B16" s="10" t="str">
        <x:v>https://www.tbench.ai/leaderboard/terminal-bench/2.0</x:v>
      </x:c>
      <x:c r="C16" s="10" t="str">
        <x:v>Terminal-agent benchmark leaderboard.</x:v>
      </x:c>
      <x:c r="D16" s="126" t="str">
        <x:v>Used for CLI, build, CI, deployment, and terminal-heavy work.</x:v>
      </x:c>
    </x:row>
    <x:row r="17" ht="26.399999618530273" hidden="0" customHeight="1">
      <x:c r="A17" s="125" t="str">
        <x:v>BigCodeBench</x:v>
      </x:c>
      <x:c r="B17" s="10" t="str">
        <x:v>https://arxiv.org/abs/2406.15877</x:v>
      </x:c>
      <x:c r="C17" s="10" t="str">
        <x:v>Broad code-generation benchmark requiring function calls and library/API use.</x:v>
      </x:c>
      <x:c r="D17" s="126" t="str">
        <x:v>Used for API/library/tool-use task fit.</x:v>
      </x:c>
    </x:row>
    <x:row r="18" ht="15" hidden="0" customHeight="1">
      <x:c r="A18" s="125" t="str">
        <x:v>SWE-Lancer</x:v>
      </x:c>
      <x:c r="B18" s="10" t="str">
        <x:v>https://openai.com/index/swe-lancer/</x:v>
      </x:c>
      <x:c r="C18" s="10" t="str">
        <x:v>OpenAI benchmark built from freelance software engineering tasks.</x:v>
      </x:c>
      <x:c r="D18" s="126" t="str">
        <x:v>Used for managerial and economically meaningful software task signals.</x:v>
      </x:c>
    </x:row>
    <x:row r="19" ht="15" hidden="0" customHeight="1">
      <x:c r="A19" s="125" t="str">
        <x:v>SWE-Bench Mobile</x:v>
      </x:c>
      <x:c r="B19" s="10" t="str">
        <x:v>https://arxiv.org/abs/2602.09540</x:v>
      </x:c>
      <x:c r="C19" s="10" t="str">
        <x:v>Production iOS/mobile software engineering benchmark.</x:v>
      </x:c>
      <x:c r="D19" s="126" t="str">
        <x:v>Used for Apple-platform and mobile UI caution.</x:v>
      </x:c>
    </x:row>
    <x:row r="20" ht="15" hidden="0" customHeight="1">
      <x:c r="A20" s="125" t="str">
        <x:v>SpecBench</x:v>
      </x:c>
      <x:c r="B20" s="10" t="str">
        <x:v>https://arxiv.org/abs/2605.30314</x:v>
      </x:c>
      <x:c r="C20" s="10" t="str">
        <x:v>Specification-level software engineering benchmark.</x:v>
      </x:c>
      <x:c r="D20" s="126" t="str">
        <x:v>Used for requirements, architecture, and design-review escalation.</x:v>
      </x:c>
    </x:row>
    <x:row r="21" ht="15" hidden="0" customHeight="1">
      <x:c r="A21" s="125" t="str">
        <x:v>SWE-Skills-Bench</x:v>
      </x:c>
      <x:c r="B21" s="10" t="str">
        <x:v>https://arxiv.org/abs/2603.15401</x:v>
      </x:c>
      <x:c r="C21" s="10" t="str">
        <x:v>Skill-injection benefit and token-overhead benchmark.</x:v>
      </x:c>
      <x:c r="D21" s="126" t="str">
        <x:v>Used for plugin/skill minimalism.</x:v>
      </x:c>
    </x:row>
    <x:row r="22" ht="15" hidden="0" customHeight="1">
      <x:c r="A22" s="127" t="str">
        <x:v>CORE-Bench</x:v>
      </x:c>
      <x:c r="B22" s="128" t="str">
        <x:v>https://arxiv.org/abs/2606.11864</x:v>
      </x:c>
      <x:c r="C22" s="128" t="str">
        <x:v>Repository code retrieval/localization benchmark.</x:v>
      </x:c>
      <x:c r="D22" s="129" t="str">
        <x:v>Used for large-repo context and MAX Mode decisions.</x:v>
      </x:c>
    </x:row>
  </x:sheetData>
  <x:mergeCells>
    <x:mergeCell ref="A1:D1"/>
  </x:mergeCells>
  <x:pageMargins left="0.7" right="0.7" top="0.75" bottom="0.75" header="0.3" footer="0.3"/>
</x:worksheet>
</file>